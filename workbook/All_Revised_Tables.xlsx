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e53382aac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12e511f916114e32"/>
    <x:sheet xmlns:r="http://schemas.openxmlformats.org/officeDocument/2006/relationships" name="Table_1" sheetId="2" r:id="Rb0caf84ce1a54236"/>
    <x:sheet xmlns:r="http://schemas.openxmlformats.org/officeDocument/2006/relationships" name="Table_2" sheetId="3" r:id="R6dd2e148605c4cdb"/>
    <x:sheet xmlns:r="http://schemas.openxmlformats.org/officeDocument/2006/relationships" name="Table_3" sheetId="4" r:id="R0cfe0ec0b70548d2"/>
    <x:sheet xmlns:r="http://schemas.openxmlformats.org/officeDocument/2006/relationships" name="Table_4" sheetId="5" r:id="R7cbcf67ade6944b7"/>
    <x:sheet xmlns:r="http://schemas.openxmlformats.org/officeDocument/2006/relationships" name="Table_S1" sheetId="6" r:id="Rd36d400468194cf6"/>
    <x:sheet xmlns:r="http://schemas.openxmlformats.org/officeDocument/2006/relationships" name="Table_S2" sheetId="7" r:id="Rcc19447bba4641f0"/>
    <x:sheet xmlns:r="http://schemas.openxmlformats.org/officeDocument/2006/relationships" name="Table_S3" sheetId="8" r:id="Rc233ebd39b884df9"/>
    <x:sheet xmlns:r="http://schemas.openxmlformats.org/officeDocument/2006/relationships" name="Table_S4" sheetId="9" r:id="R840fbe591204488d"/>
    <x:sheet xmlns:r="http://schemas.openxmlformats.org/officeDocument/2006/relationships" name="Table_S5" sheetId="10" r:id="R3d7f5ea706334385"/>
    <x:sheet xmlns:r="http://schemas.openxmlformats.org/officeDocument/2006/relationships" name="Table_S6" sheetId="11" r:id="R181e9cfb91e14755"/>
    <x:sheet xmlns:r="http://schemas.openxmlformats.org/officeDocument/2006/relationships" name="Table_S7" sheetId="12" r:id="R28e3f04f9ee34049"/>
    <x:sheet xmlns:r="http://schemas.openxmlformats.org/officeDocument/2006/relationships" name="Table_S8" sheetId="13" r:id="R98a06588dde04ded"/>
    <x:sheet xmlns:r="http://schemas.openxmlformats.org/officeDocument/2006/relationships" name="Table_S9" sheetId="14" r:id="Rd127e313cf044ce1"/>
    <x:sheet xmlns:r="http://schemas.openxmlformats.org/officeDocument/2006/relationships" name="Table_S10" sheetId="15" r:id="R6e456bc5bc5240e7"/>
    <x:sheet xmlns:r="http://schemas.openxmlformats.org/officeDocument/2006/relationships" name="Table_S11" sheetId="16" r:id="Rd757df5cc9be4289"/>
    <x:sheet xmlns:r="http://schemas.openxmlformats.org/officeDocument/2006/relationships" name="Table_S12" sheetId="17" r:id="Rdd17577656814d81"/>
    <x:sheet xmlns:r="http://schemas.openxmlformats.org/officeDocument/2006/relationships" name="Table_S13" sheetId="18" r:id="Rac6abfac7ac44d12"/>
    <x:sheet xmlns:r="http://schemas.openxmlformats.org/officeDocument/2006/relationships" name="Table_S14" sheetId="19" r:id="R076219054eba4098"/>
    <x:sheet xmlns:r="http://schemas.openxmlformats.org/officeDocument/2006/relationships" name="Table_S15" sheetId="20" r:id="R72fb42c35f3443c4"/>
    <x:sheet xmlns:r="http://schemas.openxmlformats.org/officeDocument/2006/relationships" name="Table_S16" sheetId="21" r:id="Rbf6c2e6f11bc4158"/>
    <x:sheet xmlns:r="http://schemas.openxmlformats.org/officeDocument/2006/relationships" name="Table_S17" sheetId="22" r:id="Rda08f57de72d405c"/>
    <x:sheet xmlns:r="http://schemas.openxmlformats.org/officeDocument/2006/relationships" name="Table_S18" sheetId="23" r:id="Red1b7ae39d4446c2"/>
    <x:sheet xmlns:r="http://schemas.openxmlformats.org/officeDocument/2006/relationships" name="Table_S19" sheetId="24" r:id="Rde908fd2e5964c10"/>
    <x:sheet xmlns:r="http://schemas.openxmlformats.org/officeDocument/2006/relationships" name="Table_S20" sheetId="25" r:id="Rab7d1442c2724468"/>
    <x:sheet xmlns:r="http://schemas.openxmlformats.org/officeDocument/2006/relationships" name="Table_S1b" sheetId="26" r:id="R70b9c15bcee64b60"/>
    <x:sheet xmlns:r="http://schemas.openxmlformats.org/officeDocument/2006/relationships" name="Table_S21" sheetId="27" r:id="R7b3b2aebfb8e4054"/>
    <x:sheet xmlns:r="http://schemas.openxmlformats.org/officeDocument/2006/relationships" name="Table_S22" sheetId="28" r:id="Re4391a7cdf864f1c"/>
    <x:sheet xmlns:r="http://schemas.openxmlformats.org/officeDocument/2006/relationships" name="Table_S23" sheetId="29" r:id="R370695edf7aa483a"/>
    <x:sheet xmlns:r="http://schemas.openxmlformats.org/officeDocument/2006/relationships" name="Table_S24" sheetId="30" r:id="R11c10d9146ee4354"/>
    <x:sheet xmlns:r="http://schemas.openxmlformats.org/officeDocument/2006/relationships" name="Table_S25" sheetId="31" r:id="R6db6d6049a694ae7"/>
    <x:sheet xmlns:r="http://schemas.openxmlformats.org/officeDocument/2006/relationships" name="Table_S25b" sheetId="32" r:id="R6d24372f88cc4453"/>
    <x:sheet xmlns:r="http://schemas.openxmlformats.org/officeDocument/2006/relationships" name="Table_S26" sheetId="33" r:id="R8c5a052f4b4e4ea1"/>
    <x:sheet xmlns:r="http://schemas.openxmlformats.org/officeDocument/2006/relationships" name="S1_Flow_numeric" sheetId="34" r:id="R1e610a5a72214242"/>
    <x:sheet xmlns:r="http://schemas.openxmlformats.org/officeDocument/2006/relationships" name="S21_numeric" sheetId="35" r:id="Rc5289a76a0474cf2"/>
    <x:sheet xmlns:r="http://schemas.openxmlformats.org/officeDocument/2006/relationships" name="S22_numeric" sheetId="36" r:id="R9ae17d57111c44c2"/>
    <x:sheet xmlns:r="http://schemas.openxmlformats.org/officeDocument/2006/relationships" name="S23_numeric" sheetId="37" r:id="R682f42eeb14e4cda"/>
    <x:sheet xmlns:r="http://schemas.openxmlformats.org/officeDocument/2006/relationships" name="S24_numeric" sheetId="38" r:id="R252a8f0817fc4361"/>
    <x:sheet xmlns:r="http://schemas.openxmlformats.org/officeDocument/2006/relationships" name="S25_CI_numeric" sheetId="39" r:id="R515507b0bc434857"/>
    <x:sheet xmlns:r="http://schemas.openxmlformats.org/officeDocument/2006/relationships" name="S25_Difference_numeric" sheetId="40" r:id="Re147aeb5c989486b"/>
    <x:sheet xmlns:r="http://schemas.openxmlformats.org/officeDocument/2006/relationships" name="Primary_numeric" sheetId="41" r:id="Rdefc21629e0745ff"/>
    <x:sheet xmlns:r="http://schemas.openxmlformats.org/officeDocument/2006/relationships" name="Comparators_numeric" sheetId="42" r:id="Rf864779e3f21458b"/>
    <x:sheet xmlns:r="http://schemas.openxmlformats.org/officeDocument/2006/relationships" name="Workload_numeric" sheetId="43" r:id="Rbd1f605c65054f70"/>
    <x:sheet xmlns:r="http://schemas.openxmlformats.org/officeDocument/2006/relationships" name="Table_S27" sheetId="44" r:id="R06a19e49783a4146"/>
    <x:sheet xmlns:r="http://schemas.openxmlformats.org/officeDocument/2006/relationships" name="S27_numeric" sheetId="45" r:id="R0e33eee958424737"/>
    <x:sheet xmlns:r="http://schemas.openxmlformats.org/officeDocument/2006/relationships" name="Table_S28" sheetId="46" r:id="Ra092db984f254b2d"/>
    <x:sheet xmlns:r="http://schemas.openxmlformats.org/officeDocument/2006/relationships" name="Table_S29" sheetId="47" r:id="Rd9afacff212f4b92"/>
    <x:sheet xmlns:r="http://schemas.openxmlformats.org/officeDocument/2006/relationships" name="Table_S30" sheetId="48" r:id="R5238e6cc46394516"/>
    <x:sheet xmlns:r="http://schemas.openxmlformats.org/officeDocument/2006/relationships" name="Table_S31" sheetId="49" r:id="Rda973bcd5e874d95"/>
    <x:sheet xmlns:r="http://schemas.openxmlformats.org/officeDocument/2006/relationships" name="Timing_Definitions" sheetId="50" r:id="R8dc906da5ac7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00"/>
    <x:numFmt numFmtId="202" formatCode="0.0000000000"/>
    <x:numFmt numFmtId="203" formatCode="0.000000"/>
    <x:numFmt numFmtId="204" formatCode="0.00000"/>
    <x:numFmt numFmtId="205" formatCode="0.00%"/>
    <x:numFmt numFmtId="206" formatCode="0.0"/>
  </x:numFmts>
  <x:fonts count="11">
    <x:font>
      <x:sz val="11"/>
      <x:name val="Carlito"/>
    </x:font>
    <x:font>
      <x:sz val="10"/>
      <x:color rgb="FF111111"/>
      <x:name val="Arial"/>
    </x:font>
    <x:font>
      <x:b/>
      <x:sz val="10"/>
      <x:color rgb="FFFFFFFF"/>
      <x:name val="Arial"/>
    </x:font>
    <x:font>
      <x:b/>
      <x:sz val="13"/>
      <x:color rgb="FF202124"/>
      <x:name val="Arial"/>
    </x:font>
    <x:font>
      <x:sz val="11"/>
      <x:name val="Carlito"/>
    </x:font>
    <x:font>
      <x:sz val="10"/>
      <x:color rgb="FF202124"/>
      <x:name val="Arial"/>
    </x:font>
    <x:font>
      <x:b/>
      <x:sz val="10"/>
      <x:color rgb="FFFFFFFF"/>
      <x:name val="Arial"/>
    </x:font>
    <x:font>
      <x:b/>
      <x:sz val="10"/>
      <x:color rgb="FF202124"/>
      <x:name val="Arial"/>
    </x:font>
    <x:font>
      <x:sz val="10"/>
      <x:name val="Arial"/>
    </x:font>
    <x:font>
      <x:sz val="11"/>
      <x:name val="Calibri"/>
    </x:font>
    <x:font>
      <x:b/>
      <x:sz val="11"/>
      <x:color rgb="FF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353B43"/>
      </x:patternFill>
    </x:fill>
    <x:fill>
      <x:patternFill patternType="solid">
        <x:fgColor rgb="FFF3F4F5"/>
      </x:patternFill>
    </x:fill>
    <x:fill>
      <x:patternFill patternType="none"/>
    </x:fill>
    <x:fill>
      <x:patternFill patternType="solid">
        <x:fgColor rgb="FF353B43"/>
      </x:patternFill>
    </x:fill>
    <x:fill>
      <x:patternFill patternType="solid">
        <x:fgColor rgb="FFF3F4F5"/>
      </x:patternFill>
    </x:fill>
    <x:fill>
      <x:patternFill patternType="solid">
        <x:fgColor rgb="FFD9E4E8"/>
      </x:patternFill>
    </x:fill>
  </x:fills>
  <x:borders count="4">
    <x:border/>
    <x:border/>
    <x:border>
      <x:bottom style="thin">
        <x:color rgb="FFB4B8B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">
    <x:xf numFmtId="0" fontId="0" fillId="0" borderId="0"/>
    <x:xf numFmtId="0" fontId="4" fillId="4" borderId="1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3" fontId="1" fillId="3" borderId="0" xfId="0" applyNumberFormat="1" applyFont="1" applyFill="1" applyBorder="1" applyAlignment="1">
      <x:alignment horizontal="righ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1" applyNumberFormat="1" applyFont="1" applyFill="1" applyBorder="1" applyAlignment="1">
      <x:alignment vertical="center" wrapText="1"/>
    </x:xf>
    <x:xf numFmtId="0" fontId="5" fillId="4" borderId="1" xfId="1" applyNumberFormat="1" applyFont="1" applyFill="1" applyBorder="1" applyAlignment="1">
      <x:alignment vertical="center"/>
    </x:xf>
    <x:xf numFmtId="0" fontId="6" fillId="5" borderId="1" xfId="1" applyNumberFormat="1" applyFont="1" applyFill="1" applyBorder="1" applyAlignment="1">
      <x:alignment horizontal="center" vertical="center" wrapText="1"/>
    </x:xf>
    <x:xf numFmtId="0" fontId="5" fillId="4" borderId="1" xfId="1" applyNumberFormat="1" applyFont="1" applyFill="1" applyBorder="1" applyAlignment="1">
      <x:alignment vertical="center" wrapText="1"/>
    </x:xf>
    <x:xf numFmtId="200" fontId="5" fillId="4" borderId="1" xfId="1" applyNumberFormat="1" applyFont="1" applyFill="1" applyBorder="1" applyAlignment="1">
      <x:alignment horizontal="right" vertical="center"/>
    </x:xf>
    <x:xf numFmtId="0" fontId="5" fillId="6" borderId="1" xfId="1" applyNumberFormat="1" applyFont="1" applyFill="1" applyBorder="1" applyAlignment="1">
      <x:alignment vertical="center" wrapText="1"/>
    </x:xf>
    <x:xf numFmtId="200" fontId="5" fillId="6" borderId="1" xfId="1" applyNumberFormat="1" applyFont="1" applyFill="1" applyBorder="1" applyAlignment="1">
      <x:alignment horizontal="right" vertical="center"/>
    </x:xf>
    <x:xf numFmtId="201" fontId="5" fillId="4" borderId="1" xfId="1" applyNumberFormat="1" applyFont="1" applyFill="1" applyBorder="1" applyAlignment="1">
      <x:alignment horizontal="right" vertical="center"/>
    </x:xf>
    <x:xf numFmtId="201" fontId="5" fillId="6" borderId="1" xfId="1" applyNumberFormat="1" applyFont="1" applyFill="1" applyBorder="1" applyAlignment="1">
      <x:alignment horizontal="right" vertical="center"/>
    </x:xf>
    <x:xf numFmtId="204" fontId="5" fillId="6" borderId="1" xfId="1" applyNumberFormat="1" applyFont="1" applyFill="1" applyBorder="1" applyAlignment="1">
      <x:alignment horizontal="right" vertical="center"/>
    </x:xf>
    <x:xf numFmtId="0" fontId="5" fillId="6" borderId="2" xfId="1" applyNumberFormat="1" applyFont="1" applyFill="1" applyBorder="1" applyAlignment="1">
      <x:alignment vertical="center" wrapText="1"/>
    </x:xf>
    <x:xf numFmtId="205" fontId="5" fillId="6" borderId="2" xfId="1" applyNumberFormat="1" applyFont="1" applyFill="1" applyBorder="1" applyAlignment="1">
      <x:alignment horizontal="right" vertical="center"/>
    </x:xf>
    <x:xf numFmtId="0" fontId="7" fillId="4" borderId="1" xfId="1" applyNumberFormat="1" applyFont="1" applyFill="1" applyBorder="1" applyAlignment="1">
      <x:alignment vertical="center"/>
    </x:xf>
    <x:xf numFmtId="204" fontId="5" fillId="4" borderId="1" xfId="1" applyNumberFormat="1" applyFont="1" applyFill="1" applyBorder="1" applyAlignment="1">
      <x:alignment horizontal="right" vertical="center"/>
    </x:xf>
    <x:xf numFmtId="0" fontId="5" fillId="6" borderId="1" xfId="1" applyNumberFormat="1" applyFont="1" applyFill="1" applyBorder="1" applyAlignment="1">
      <x:alignment vertical="center"/>
    </x:xf>
    <x:xf numFmtId="0" fontId="8" fillId="4" borderId="1" xfId="1" applyNumberFormat="1" applyFont="1" applyFill="1" applyBorder="1"/>
    <x:xf numFmtId="0" fontId="4" fillId="4" borderId="1" xfId="1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3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206" fontId="9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c3c2153ad4d8e" /><Relationship Type="http://schemas.openxmlformats.org/officeDocument/2006/relationships/theme" Target="/xl/theme/theme1.xml" Id="R256745438b444f13" /><Relationship Type="http://schemas.microsoft.com/office/2022/11/relationships/FeaturePropertyBag" Target="/xl/featurePropertyBag/featurePropertyBag.xml" Id="R205d4fe7a3db4002" /><Relationship Type="http://schemas.openxmlformats.org/officeDocument/2006/relationships/sharedStrings" Target="/xl/sharedStrings.xml" Id="R742ce22ba645401c" /><Relationship Type="http://schemas.openxmlformats.org/officeDocument/2006/relationships/worksheet" Target="/xl/worksheets/sheet1.xml" Id="R12e511f916114e32" /><Relationship Type="http://schemas.openxmlformats.org/officeDocument/2006/relationships/worksheet" Target="/xl/worksheets/sheet2.xml" Id="Rb0caf84ce1a54236" /><Relationship Type="http://schemas.openxmlformats.org/officeDocument/2006/relationships/worksheet" Target="/xl/worksheets/sheet3.xml" Id="R6dd2e148605c4cdb" /><Relationship Type="http://schemas.openxmlformats.org/officeDocument/2006/relationships/worksheet" Target="/xl/worksheets/sheet4.xml" Id="R0cfe0ec0b70548d2" /><Relationship Type="http://schemas.openxmlformats.org/officeDocument/2006/relationships/worksheet" Target="/xl/worksheets/sheet5.xml" Id="R7cbcf67ade6944b7" /><Relationship Type="http://schemas.openxmlformats.org/officeDocument/2006/relationships/worksheet" Target="/xl/worksheets/sheet6.xml" Id="Rd36d400468194cf6" /><Relationship Type="http://schemas.openxmlformats.org/officeDocument/2006/relationships/worksheet" Target="/xl/worksheets/sheet7.xml" Id="Rcc19447bba4641f0" /><Relationship Type="http://schemas.openxmlformats.org/officeDocument/2006/relationships/worksheet" Target="/xl/worksheets/sheet8.xml" Id="Rc233ebd39b884df9" /><Relationship Type="http://schemas.openxmlformats.org/officeDocument/2006/relationships/worksheet" Target="/xl/worksheets/sheet9.xml" Id="R840fbe591204488d" /><Relationship Type="http://schemas.openxmlformats.org/officeDocument/2006/relationships/worksheet" Target="/xl/worksheets/sheet10.xml" Id="R3d7f5ea706334385" /><Relationship Type="http://schemas.openxmlformats.org/officeDocument/2006/relationships/worksheet" Target="/xl/worksheets/sheet11.xml" Id="R181e9cfb91e14755" /><Relationship Type="http://schemas.openxmlformats.org/officeDocument/2006/relationships/worksheet" Target="/xl/worksheets/sheet12.xml" Id="R28e3f04f9ee34049" /><Relationship Type="http://schemas.openxmlformats.org/officeDocument/2006/relationships/worksheet" Target="/xl/worksheets/sheet13.xml" Id="R98a06588dde04ded" /><Relationship Type="http://schemas.openxmlformats.org/officeDocument/2006/relationships/worksheet" Target="/xl/worksheets/sheet14.xml" Id="Rd127e313cf044ce1" /><Relationship Type="http://schemas.openxmlformats.org/officeDocument/2006/relationships/worksheet" Target="/xl/worksheets/sheet15.xml" Id="R6e456bc5bc5240e7" /><Relationship Type="http://schemas.openxmlformats.org/officeDocument/2006/relationships/worksheet" Target="/xl/worksheets/sheet16.xml" Id="Rd757df5cc9be4289" /><Relationship Type="http://schemas.openxmlformats.org/officeDocument/2006/relationships/worksheet" Target="/xl/worksheets/sheet17.xml" Id="Rdd17577656814d81" /><Relationship Type="http://schemas.openxmlformats.org/officeDocument/2006/relationships/worksheet" Target="/xl/worksheets/sheet18.xml" Id="Rac6abfac7ac44d12" /><Relationship Type="http://schemas.openxmlformats.org/officeDocument/2006/relationships/worksheet" Target="/xl/worksheets/sheet19.xml" Id="R076219054eba4098" /><Relationship Type="http://schemas.openxmlformats.org/officeDocument/2006/relationships/worksheet" Target="/xl/worksheets/sheet20.xml" Id="R72fb42c35f3443c4" /><Relationship Type="http://schemas.openxmlformats.org/officeDocument/2006/relationships/worksheet" Target="/xl/worksheets/sheet21.xml" Id="Rbf6c2e6f11bc4158" /><Relationship Type="http://schemas.openxmlformats.org/officeDocument/2006/relationships/worksheet" Target="/xl/worksheets/sheet22.xml" Id="Rda08f57de72d405c" /><Relationship Type="http://schemas.openxmlformats.org/officeDocument/2006/relationships/worksheet" Target="/xl/worksheets/sheet23.xml" Id="Red1b7ae39d4446c2" /><Relationship Type="http://schemas.openxmlformats.org/officeDocument/2006/relationships/worksheet" Target="/xl/worksheets/sheet24.xml" Id="Rde908fd2e5964c10" /><Relationship Type="http://schemas.openxmlformats.org/officeDocument/2006/relationships/worksheet" Target="/xl/worksheets/sheet25.xml" Id="Rab7d1442c2724468" /><Relationship Type="http://schemas.openxmlformats.org/officeDocument/2006/relationships/worksheet" Target="/xl/worksheets/sheet26.xml" Id="R70b9c15bcee64b60" /><Relationship Type="http://schemas.openxmlformats.org/officeDocument/2006/relationships/worksheet" Target="/xl/worksheets/sheet27.xml" Id="R7b3b2aebfb8e4054" /><Relationship Type="http://schemas.openxmlformats.org/officeDocument/2006/relationships/worksheet" Target="/xl/worksheets/sheet28.xml" Id="Re4391a7cdf864f1c" /><Relationship Type="http://schemas.openxmlformats.org/officeDocument/2006/relationships/worksheet" Target="/xl/worksheets/sheet29.xml" Id="R370695edf7aa483a" /><Relationship Type="http://schemas.openxmlformats.org/officeDocument/2006/relationships/worksheet" Target="/xl/worksheets/sheet30.xml" Id="R11c10d9146ee4354" /><Relationship Type="http://schemas.openxmlformats.org/officeDocument/2006/relationships/worksheet" Target="/xl/worksheets/sheet31.xml" Id="R6db6d6049a694ae7" /><Relationship Type="http://schemas.openxmlformats.org/officeDocument/2006/relationships/worksheet" Target="/xl/worksheets/sheet32.xml" Id="R6d24372f88cc4453" /><Relationship Type="http://schemas.openxmlformats.org/officeDocument/2006/relationships/worksheet" Target="/xl/worksheets/sheet33.xml" Id="R8c5a052f4b4e4ea1" /><Relationship Type="http://schemas.openxmlformats.org/officeDocument/2006/relationships/worksheet" Target="/xl/worksheets/sheet34.xml" Id="R1e610a5a72214242" /><Relationship Type="http://schemas.openxmlformats.org/officeDocument/2006/relationships/worksheet" Target="/xl/worksheets/sheet35.xml" Id="Rc5289a76a0474cf2" /><Relationship Type="http://schemas.openxmlformats.org/officeDocument/2006/relationships/worksheet" Target="/xl/worksheets/sheet36.xml" Id="R9ae17d57111c44c2" /><Relationship Type="http://schemas.openxmlformats.org/officeDocument/2006/relationships/worksheet" Target="/xl/worksheets/sheet37.xml" Id="R682f42eeb14e4cda" /><Relationship Type="http://schemas.openxmlformats.org/officeDocument/2006/relationships/worksheet" Target="/xl/worksheets/sheet38.xml" Id="R252a8f0817fc4361" /><Relationship Type="http://schemas.openxmlformats.org/officeDocument/2006/relationships/worksheet" Target="/xl/worksheets/sheet39.xml" Id="R515507b0bc434857" /><Relationship Type="http://schemas.openxmlformats.org/officeDocument/2006/relationships/worksheet" Target="/xl/worksheets/sheet40.xml" Id="Re147aeb5c989486b" /><Relationship Type="http://schemas.openxmlformats.org/officeDocument/2006/relationships/worksheet" Target="/xl/worksheets/sheet41.xml" Id="Rdefc21629e0745ff" /><Relationship Type="http://schemas.openxmlformats.org/officeDocument/2006/relationships/worksheet" Target="/xl/worksheets/sheet42.xml" Id="Rf864779e3f21458b" /><Relationship Type="http://schemas.openxmlformats.org/officeDocument/2006/relationships/worksheet" Target="/xl/worksheets/sheet43.xml" Id="Rbd1f605c65054f70" /><Relationship Type="http://schemas.openxmlformats.org/officeDocument/2006/relationships/worksheet" Target="/xl/worksheets/sheet44.xml" Id="R06a19e49783a4146" /><Relationship Type="http://schemas.openxmlformats.org/officeDocument/2006/relationships/worksheet" Target="/xl/worksheets/sheet45.xml" Id="R0e33eee958424737" /><Relationship Type="http://schemas.openxmlformats.org/officeDocument/2006/relationships/worksheet" Target="/xl/worksheets/sheet46.xml" Id="Ra092db984f254b2d" /><Relationship Type="http://schemas.openxmlformats.org/officeDocument/2006/relationships/worksheet" Target="/xl/worksheets/sheet47.xml" Id="Rd9afacff212f4b92" /><Relationship Type="http://schemas.openxmlformats.org/officeDocument/2006/relationships/worksheet" Target="/xl/worksheets/sheet48.xml" Id="R5238e6cc46394516" /><Relationship Type="http://schemas.openxmlformats.org/officeDocument/2006/relationships/worksheet" Target="/xl/worksheets/sheet49.xml" Id="Rda973bcd5e874d95" /><Relationship Type="http://schemas.openxmlformats.org/officeDocument/2006/relationships/worksheet" Target="/xl/worksheets/sheet50.xml" Id="R8dc906da5ac74f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53B4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0" hidden="0" customWidth="1"/>
  </x:cols>
  <x:sheetData>
    <x:row r="1" ht="64" customHeight="1">
      <x:c r="A1" s="6" t="str">
        <x:v>Worksheet</x:v>
      </x:c>
      <x:c r="B1" s="6" t="str">
        <x:v>Table / analysis</x:v>
      </x:c>
    </x:row>
    <x:row r="2" ht="30" customHeight="1">
      <x:c r="A2" s="3" t="str">
        <x:v>Table_1</x:v>
      </x:c>
      <x:c r="B2" s="3" t="str">
        <x:v>Main manuscript Table 1</x:v>
      </x:c>
    </x:row>
    <x:row r="3" ht="30" customHeight="1">
      <x:c r="A3" s="7" t="str">
        <x:v>Table_2</x:v>
      </x:c>
      <x:c r="B3" s="7" t="str">
        <x:v>Main manuscript Table 2</x:v>
      </x:c>
    </x:row>
    <x:row r="4" ht="30" customHeight="1">
      <x:c r="A4" s="3" t="str">
        <x:v>Table_3</x:v>
      </x:c>
      <x:c r="B4" s="3" t="str">
        <x:v>Main manuscript Table 3</x:v>
      </x:c>
    </x:row>
    <x:row r="5" ht="30" customHeight="1">
      <x:c r="A5" s="7" t="str">
        <x:v>Table_4</x:v>
      </x:c>
      <x:c r="B5" s="7" t="str">
        <x:v>Main manuscript Table 4</x:v>
      </x:c>
    </x:row>
    <x:row r="6" ht="36" customHeight="1">
      <x:c r="A6" s="3" t="str">
        <x:v>Table_S1</x:v>
      </x:c>
      <x:c r="B6" s="3" t="str">
        <x:v>Table S1. Complete cohort flow and analytic roles</x:v>
      </x:c>
    </x:row>
    <x:row r="7" ht="36" customHeight="1">
      <x:c r="A7" s="7" t="str">
        <x:v>Table_S2</x:v>
      </x:c>
      <x:c r="B7" s="7" t="str">
        <x:v>Table S2. Characteristics by outcome-observation status</x:v>
      </x:c>
    </x:row>
    <x:row r="8" ht="36" customHeight="1">
      <x:c r="A8" s="3" t="str">
        <x:v>Table_S3</x:v>
      </x:c>
      <x:c r="B8" s="3" t="str">
        <x:v>Table S3. Cross-fitted outcome-observation model diagnostics</x:v>
      </x:c>
    </x:row>
    <x:row r="9" ht="36" customHeight="1">
      <x:c r="A9" s="7" t="str">
        <x:v>Table_S4</x:v>
      </x:c>
      <x:c r="B9" s="7" t="str">
        <x:v>Table S4. Cross-fitted auxiliary outcome-model diagnostics</x:v>
      </x:c>
    </x:row>
    <x:row r="10" ht="36" customHeight="1">
      <x:c r="A10" s="3" t="str">
        <x:v>Table_S5</x:v>
      </x:c>
      <x:c r="B10" s="3" t="str">
        <x:v>Table S5. Predictor and outcome-variable availability</x:v>
      </x:c>
    </x:row>
    <x:row r="11" ht="36" customHeight="1">
      <x:c r="A11" s="7" t="str">
        <x:v>Table_S6</x:v>
      </x:c>
      <x:c r="B11" s="7" t="str">
        <x:v>Table S6. Complete canonical source-model coefficients</x:v>
      </x:c>
    </x:row>
    <x:row r="12" ht="36" customHeight="1">
      <x:c r="A12" s="3" t="str">
        <x:v>Table_S7</x:v>
      </x:c>
      <x:c r="B12" s="3" t="str">
        <x:v>Table S7. Source preprocessing and standardized spline knot vectors</x:v>
      </x:c>
    </x:row>
    <x:row r="13" ht="36" customHeight="1">
      <x:c r="A13" s="7" t="str">
        <x:v>Table_S8</x:v>
      </x:c>
      <x:c r="B13" s="7" t="str">
        <x:v>Table S8. Canonical estimators and odds-multiplier-1 outcome-regression references</x:v>
      </x:c>
    </x:row>
    <x:row r="14" ht="36" customHeight="1">
      <x:c r="A14" s="3" t="str">
        <x:v>Table_S9</x:v>
      </x:c>
      <x:c r="B14" s="3" t="str">
        <x:v>Table S9. Source and update strategy comparators propagated to MOVER 2022</x:v>
      </x:c>
    </x:row>
    <x:row r="15" ht="36" customHeight="1">
      <x:c r="A15" s="7" t="str">
        <x:v>Table_S10</x:v>
      </x:c>
      <x:c r="B15" s="7" t="str">
        <x:v>Table S10. Complete canonical bootstrap estimates</x:v>
      </x:c>
    </x:row>
    <x:row r="16" ht="50" customHeight="1">
      <x:c r="A16" s="3" t="str">
        <x:v>Table_S11</x:v>
      </x:c>
      <x:c r="B16" s="3" t="str">
        <x:v>Table S11. Source-stage outcome-completion sensitivity propagated through update and target estimation</x:v>
      </x:c>
    </x:row>
    <x:row r="17" ht="36" customHeight="1">
      <x:c r="A17" s="7" t="str">
        <x:v>Table_S12</x:v>
      </x:c>
      <x:c r="B17" s="7" t="str">
        <x:v>Table S12. Update-stage outcome-completion sensitivity propagated to target estimation</x:v>
      </x:c>
    </x:row>
    <x:row r="18" ht="36" customHeight="1">
      <x:c r="A18" s="3" t="str">
        <x:v>Table_S13</x:v>
      </x:c>
      <x:c r="B18" s="3" t="str">
        <x:v>Table S13. Target-stage outcome-completion sensitivity</x:v>
      </x:c>
    </x:row>
    <x:row r="19" ht="36" customHeight="1">
      <x:c r="A19" s="7" t="str">
        <x:v>Table_S14</x:v>
      </x:c>
      <x:c r="B19" s="7" t="str">
        <x:v>Table S14. Sampling intervals for every stage-specific MNAR cell</x:v>
      </x:c>
    </x:row>
    <x:row r="20" ht="30" customHeight="1">
      <x:c r="A20" s="3" t="str">
        <x:v>Table_S15</x:v>
      </x:c>
      <x:c r="B20" s="3" t="str">
        <x:v>Table S15. Weight-truncation sensitivity</x:v>
      </x:c>
    </x:row>
    <x:row r="21" ht="36" customHeight="1">
      <x:c r="A21" s="7" t="str">
        <x:v>Table_S16</x:v>
      </x:c>
      <x:c r="B21" s="7" t="str">
        <x:v>Table S16. Nonparametric target-outcome extremes</x:v>
      </x:c>
    </x:row>
    <x:row r="22" ht="36" customHeight="1">
      <x:c r="A22" s="3" t="str">
        <x:v>Table_S17</x:v>
      </x:c>
      <x:c r="B22" s="3" t="str">
        <x:v>Table S17. VitalDB supportive observed-cohort stress test</x:v>
      </x:c>
    </x:row>
    <x:row r="23" ht="36" customHeight="1">
      <x:c r="A23" s="7" t="str">
        <x:v>Table_S18</x:v>
      </x:c>
      <x:c r="B23" s="7" t="str">
        <x:v>Table S18. Raw-to-analysis variable and mapping rules</x:v>
      </x:c>
    </x:row>
    <x:row r="24" ht="36" customHeight="1">
      <x:c r="A24" s="3" t="str">
        <x:v>Table_S19</x:v>
      </x:c>
      <x:c r="B24" s="3" t="str">
        <x:v>Table S19. INSPIRE creatinine release levels and conservative intervals</x:v>
      </x:c>
    </x:row>
    <x:row r="25" ht="36" customHeight="1">
      <x:c r="A25" s="7" t="str">
        <x:v>Table_S20</x:v>
      </x:c>
      <x:c r="B25" s="7" t="str">
        <x:v>Table S20. Deterministic MOVER coarsening map used in the outcome-representation audit</x:v>
      </x:c>
    </x:row>
    <x:row r="26" ht="30" customHeight="1">
      <x:c r="A26" s="3" t="str">
        <x:v>Table_S1b</x:v>
      </x:c>
      <x:c r="B26" s="3" t="str">
        <x:v>Supplement Table S1 continued</x:v>
      </x:c>
    </x:row>
    <x:row r="27" ht="30" customHeight="1">
      <x:c r="A27" s="7" t="str">
        <x:v>Table_S21</x:v>
      </x:c>
      <x:c r="B27" s="7" t="str">
        <x:v>Revised supplement S21</x:v>
      </x:c>
    </x:row>
    <x:row r="28" ht="30" customHeight="1">
      <x:c r="A28" s="3" t="str">
        <x:v>Table_S22</x:v>
      </x:c>
      <x:c r="B28" s="3" t="str">
        <x:v>Revised supplement S22</x:v>
      </x:c>
    </x:row>
    <x:row r="29" ht="30" customHeight="1">
      <x:c r="A29" s="7" t="str">
        <x:v>Table_S23</x:v>
      </x:c>
      <x:c r="B29" s="7" t="str">
        <x:v>Revised supplement S23</x:v>
      </x:c>
    </x:row>
    <x:row r="30" ht="30" customHeight="1">
      <x:c r="A30" s="3" t="str">
        <x:v>Table_S24</x:v>
      </x:c>
      <x:c r="B30" s="3" t="str">
        <x:v>Revised supplement S24</x:v>
      </x:c>
    </x:row>
    <x:row r="31" ht="30" customHeight="1">
      <x:c r="A31" s="7" t="str">
        <x:v>Table_S25</x:v>
      </x:c>
      <x:c r="B31" s="7" t="str">
        <x:v>Revised supplement S25</x:v>
      </x:c>
    </x:row>
    <x:row r="32" ht="30" customHeight="1">
      <x:c r="A32" s="3" t="str">
        <x:v>Table_S25b</x:v>
      </x:c>
      <x:c r="B32" s="3" t="str">
        <x:v>Revised supplement S25b</x:v>
      </x:c>
    </x:row>
    <x:row r="33" ht="30" customHeight="1">
      <x:c r="A33" s="7" t="str">
        <x:v>Table_S26</x:v>
      </x:c>
      <x:c r="B33" s="7" t="str">
        <x:v>Revised supplement S26</x:v>
      </x:c>
    </x:row>
    <x:row r="34" ht="30" customHeight="1">
      <x:c r="A34" s="3" t="str">
        <x:v>S1_Flow_numeric</x:v>
      </x:c>
      <x:c r="B34" s="3" t="str">
        <x:v>Unrounded analysis outputs</x:v>
      </x:c>
    </x:row>
    <x:row r="35" ht="30" customHeight="1">
      <x:c r="A35" s="7" t="str">
        <x:v>S21_numeric</x:v>
      </x:c>
      <x:c r="B35" s="7" t="str">
        <x:v>Unrounded analysis outputs</x:v>
      </x:c>
    </x:row>
    <x:row r="36" ht="30" customHeight="1">
      <x:c r="A36" s="3" t="str">
        <x:v>S22_numeric</x:v>
      </x:c>
      <x:c r="B36" s="3" t="str">
        <x:v>Unrounded analysis outputs</x:v>
      </x:c>
    </x:row>
    <x:row r="37" ht="30" customHeight="1">
      <x:c r="A37" s="7" t="str">
        <x:v>S23_numeric</x:v>
      </x:c>
      <x:c r="B37" s="7" t="str">
        <x:v>Unrounded analysis outputs</x:v>
      </x:c>
    </x:row>
    <x:row r="38" ht="30" customHeight="1">
      <x:c r="A38" s="3" t="str">
        <x:v>S24_numeric</x:v>
      </x:c>
      <x:c r="B38" s="3" t="str">
        <x:v>Unrounded analysis outputs</x:v>
      </x:c>
    </x:row>
    <x:row r="39" ht="30" customHeight="1">
      <x:c r="A39" s="7" t="str">
        <x:v>S25_CI_numeric</x:v>
      </x:c>
      <x:c r="B39" s="7" t="str">
        <x:v>Unrounded analysis outputs</x:v>
      </x:c>
    </x:row>
    <x:row r="40" ht="36" customHeight="1">
      <x:c r="A40" s="3" t="str">
        <x:v>S25_Difference_numeric</x:v>
      </x:c>
      <x:c r="B40" s="3" t="str">
        <x:v>Unrounded analysis outputs</x:v>
      </x:c>
    </x:row>
    <x:row r="41" ht="30" customHeight="1">
      <x:c r="A41" s="7" t="str">
        <x:v>Primary_numeric</x:v>
      </x:c>
      <x:c r="B41" s="7" t="str">
        <x:v>Unrounded analysis outputs</x:v>
      </x:c>
    </x:row>
    <x:row r="42" ht="30" customHeight="1">
      <x:c r="A42" s="3" t="str">
        <x:v>Comparators_numeric</x:v>
      </x:c>
      <x:c r="B42" s="3" t="str">
        <x:v>Unrounded analysis outputs</x:v>
      </x:c>
    </x:row>
    <x:row r="43" ht="30" customHeight="1">
      <x:c r="A43" s="7" t="str">
        <x:v>Workload_numeric</x:v>
      </x:c>
      <x:c r="B43" s="7" t="str">
        <x:v>Unrounded analysis outputs</x:v>
      </x:c>
    </x:row>
    <x:row r="44" ht="34" customHeight="1">
      <x:c r="A44" s="3" t="str">
        <x:v>Table_S27</x:v>
      </x:c>
      <x:c r="B44" s="3" t="str">
        <x:v>Table S27. Post hoc sensitivity to same-timestamp baseline creatinine selection</x:v>
      </x:c>
    </x:row>
    <x:row r="45" ht="28" customHeight="1">
      <x:c r="A45" s="7" t="str">
        <x:v>S27_numeric</x:v>
      </x:c>
      <x:c r="B45" s="7" t="str">
        <x:v>Unrounded same-timestamp baseline-selection sensitivity outputs</x:v>
      </x:c>
    </x:row>
    <x:row r="48">
      <x:c r="A48" s="47" t="str">
        <x:v>Table_S28</x:v>
      </x:c>
      <x:c r="B48" s="47" t="str">
        <x:v>Testing-time and follow-up diagnostic, 7 October 2026; included in v3.4.0; see the GitHub release for the assigned version DOI</x:v>
      </x:c>
    </x:row>
    <x:row r="49">
      <x:c r="A49" s="47" t="str">
        <x:v>Table_S29</x:v>
      </x:c>
      <x:c r="B49" s="47" t="str">
        <x:v>Testing-time and follow-up diagnostic, 7 October 2026; included in v3.4.0; see the GitHub release for the assigned version DOI</x:v>
      </x:c>
    </x:row>
    <x:row r="50">
      <x:c r="A50" s="47" t="str">
        <x:v>Table_S30</x:v>
      </x:c>
      <x:c r="B50" s="47" t="str">
        <x:v>Testing-time and follow-up diagnostic, 7 October 2026; included in v3.4.0; see the GitHub release for the assigned version DOI</x:v>
      </x:c>
    </x:row>
    <x:row r="51">
      <x:c r="A51" s="47" t="str">
        <x:v>Table_S31</x:v>
      </x:c>
      <x:c r="B51" s="47" t="str">
        <x:v>Testing-time and follow-up diagnostic, 7 October 2026; included in v3.4.0; see the GitHub release for the assigned version DOI</x:v>
      </x:c>
    </x:row>
    <x:row r="52">
      <x:c r="A52" s="47" t="str">
        <x:v>Timing_Definitions</x:v>
      </x:c>
      <x:c r="B52" s="47" t="str">
        <x:v>Testing-time and follow-up diagnostic, 7 October 2026; included in v3.4.0; see the GitHub release for the assigned version DOI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26583"/>
  </x:sheetPr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13" hidden="0" customWidth="1"/>
    <x:col min="4" max="4" width="13" hidden="0" customWidth="1"/>
    <x:col min="5" max="5" width="14" hidden="0" customWidth="1"/>
    <x:col min="6" max="6" width="13" hidden="0" customWidth="1"/>
    <x:col min="7" max="7" width="16" hidden="0" customWidth="1"/>
  </x:cols>
  <x:sheetData>
    <x:row r="1" ht="64" customHeight="1">
      <x:c r="A1" s="6" t="str">
        <x:v>Cohort</x:v>
      </x:c>
      <x:c r="B1" s="6" t="str">
        <x:v>Role</x:v>
      </x:c>
      <x:c r="C1" s="6" t="str">
        <x:v>Eligible, n</x:v>
      </x:c>
      <x:c r="D1" s="6" t="str">
        <x:v>Observed, n</x:v>
      </x:c>
      <x:c r="E1" s="6" t="str">
        <x:v>Unobserved, n</x:v>
      </x:c>
      <x:c r="F1" s="6" t="str">
        <x:v>Observed, %</x:v>
      </x:c>
      <x:c r="G1" s="6" t="str">
        <x:v>Observed AKI, n</x:v>
      </x:c>
    </x:row>
    <x:row r="2" ht="30" customHeight="1">
      <x:c r="A2" s="3" t="str">
        <x:v>INSPIRE</x:v>
      </x:c>
      <x:c r="B2" s="3" t="str">
        <x:v>Development</x:v>
      </x:c>
      <x:c r="C2" s="9" t="n">
        <x:v>33394</x:v>
      </x:c>
      <x:c r="D2" s="9" t="n">
        <x:v>24872</x:v>
      </x:c>
      <x:c r="E2" s="9" t="n">
        <x:v>8522</x:v>
      </x:c>
      <x:c r="F2" s="3" t="str">
        <x:v>74.5%</x:v>
      </x:c>
      <x:c r="G2" s="9" t="n">
        <x:v>1680</x:v>
      </x:c>
    </x:row>
    <x:row r="3" ht="30" customHeight="1">
      <x:c r="A3" s="7" t="str">
        <x:v>MOVER 2021</x:v>
      </x:c>
      <x:c r="B3" s="7" t="str">
        <x:v>Recalibration</x:v>
      </x:c>
      <x:c r="C3" s="10" t="n">
        <x:v>2802</x:v>
      </x:c>
      <x:c r="D3" s="10" t="n">
        <x:v>2212</x:v>
      </x:c>
      <x:c r="E3" s="10" t="n">
        <x:v>590</x:v>
      </x:c>
      <x:c r="F3" s="7" t="str">
        <x:v>78.9%</x:v>
      </x:c>
      <x:c r="G3" s="10" t="n">
        <x:v>274</x:v>
      </x:c>
    </x:row>
    <x:row r="4" ht="30" customHeight="1">
      <x:c r="A4" s="3" t="str">
        <x:v>MOVER 2022</x:v>
      </x:c>
      <x:c r="B4" s="3" t="str">
        <x:v>Temporal evaluation</x:v>
      </x:c>
      <x:c r="C4" s="9" t="n">
        <x:v>2587</x:v>
      </x:c>
      <x:c r="D4" s="9" t="n">
        <x:v>2033</x:v>
      </x:c>
      <x:c r="E4" s="9" t="n">
        <x:v>554</x:v>
      </x:c>
      <x:c r="F4" s="3" t="str">
        <x:v>78.6%</x:v>
      </x:c>
      <x:c r="G4" s="9" t="n">
        <x:v>259</x:v>
      </x:c>
    </x:row>
    <x:row r="5" ht="36" customHeight="1">
      <x:c r="A5" s="7" t="str">
        <x:v>VitalDB supportive cohort</x:v>
      </x:c>
      <x:c r="B5" s="7" t="str">
        <x:v>Supportive stress test</x:v>
      </x:c>
      <x:c r="C5" s="7" t="str">
        <x:v>Not used</x:v>
      </x:c>
      <x:c r="D5" s="10" t="n">
        <x:v>4095</x:v>
      </x:c>
      <x:c r="E5" s="7" t="str">
        <x:v>Not used</x:v>
      </x:c>
      <x:c r="F5" s="7" t="str">
        <x:v>Not used</x:v>
      </x:c>
      <x:c r="G5" s="10" t="n">
        <x:v>271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26583"/>
  </x:sheetPr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64" customHeight="1">
      <x:c r="A1" s="6" t="str">
        <x:v>Strategy</x:v>
      </x:c>
      <x:c r="B1" s="6" t="str">
        <x:v>Alpha</x:v>
      </x:c>
      <x:c r="C1" s="6" t="str">
        <x:v>Beta</x:v>
      </x:c>
      <x:c r="D1" s="6" t="str">
        <x:v>Target O/E</x:v>
      </x:c>
      <x:c r="E1" s="6" t="str">
        <x:v>Target slope</x:v>
      </x:c>
      <x:c r="F1" s="6" t="str">
        <x:v>AUROC</x:v>
      </x:c>
      <x:c r="G1" s="6" t="str">
        <x:v>Brier</x:v>
      </x:c>
    </x:row>
    <x:row r="2" ht="30" customHeight="1">
      <x:c r="A2" s="3" t="str">
        <x:v>No local update</x:v>
      </x:c>
      <x:c r="B2" s="9" t="n">
        <x:v>0</x:v>
      </x:c>
      <x:c r="C2" s="9" t="n">
        <x:v>1</x:v>
      </x:c>
      <x:c r="D2" s="11" t="n">
        <x:v>1.487</x:v>
      </x:c>
      <x:c r="E2" s="11" t="n">
        <x:v>0.788</x:v>
      </x:c>
      <x:c r="F2" s="11" t="n">
        <x:v>0.674</x:v>
      </x:c>
      <x:c r="G2" s="11" t="n">
        <x:v>0.0951</x:v>
      </x:c>
    </x:row>
    <x:row r="3" ht="36" customHeight="1">
      <x:c r="A3" s="7" t="str">
        <x:v>Complete-case recalibration</x:v>
      </x:c>
      <x:c r="B3" s="12" t="n">
        <x:v>0.153</x:v>
      </x:c>
      <x:c r="C3" s="12" t="n">
        <x:v>0.846</x:v>
      </x:c>
      <x:c r="D3" s="12" t="n">
        <x:v>0.967</x:v>
      </x:c>
      <x:c r="E3" s="12" t="n">
        <x:v>0.932</x:v>
      </x:c>
      <x:c r="F3" s="12" t="n">
        <x:v>0.674</x:v>
      </x:c>
      <x:c r="G3" s="12" t="n">
        <x:v>0.0936</x:v>
      </x:c>
    </x:row>
    <x:row r="4" ht="30" customHeight="1">
      <x:c r="A4" s="3" t="str">
        <x:v>IPW recalibration</x:v>
      </x:c>
      <x:c r="B4" s="11" t="n">
        <x:v>0.207</x:v>
      </x:c>
      <x:c r="C4" s="11" t="n">
        <x:v>0.891</x:v>
      </x:c>
      <x:c r="D4" s="11" t="n">
        <x:v>1.012</x:v>
      </x:c>
      <x:c r="E4" s="11" t="n">
        <x:v>0.884</x:v>
      </x:c>
      <x:c r="F4" s="11" t="n">
        <x:v>0.674</x:v>
      </x:c>
      <x:c r="G4" s="11" t="n">
        <x:v>0.0937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26583"/>
  </x:sheetPr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  <x:col min="3" max="3" width="48" hidden="0" customWidth="1"/>
  </x:cols>
  <x:sheetData>
    <x:row r="1" ht="64" customHeight="1">
      <x:c r="A1" s="6" t="str">
        <x:v>Metric</x:v>
      </x:c>
      <x:c r="B1" s="6" t="str">
        <x:v>Estimate (95% bootstrap interval)</x:v>
      </x:c>
      <x:c r="C1" s="6" t="str">
        <x:v>Estimator component</x:v>
      </x:c>
    </x:row>
    <x:row r="2" ht="36" customHeight="1">
      <x:c r="A2" s="3" t="str">
        <x:v>Estimated event rate</x:v>
      </x:c>
      <x:c r="B2" s="3" t="str">
        <x:v>11.16 (9.92 to 12.41)%</x:v>
      </x:c>
      <x:c r="C2" s="3" t="str">
        <x:v>AIPW; all eligible target operations</x:v>
      </x:c>
    </x:row>
    <x:row r="3" ht="36" customHeight="1">
      <x:c r="A3" s="7" t="str">
        <x:v>O/E ratio</x:v>
      </x:c>
      <x:c r="B3" s="7" t="str">
        <x:v>1.012 (0.866 to 1.177)</x:v>
      </x:c>
      <x:c r="C3" s="7" t="str">
        <x:v>plug-in ratio of AIPW-estimated event total to exact predicted-event total</x:v>
      </x:c>
    </x:row>
    <x:row r="4" ht="30" customHeight="1">
      <x:c r="A4" s="3" t="str">
        <x:v>Calibration slope</x:v>
      </x:c>
      <x:c r="B4" s="3" t="str">
        <x:v>0.884 (0.681 to 1.155)</x:v>
      </x:c>
      <x:c r="C4" s="3" t="str">
        <x:v>1/99 truncated expanded IPW</x:v>
      </x:c>
    </x:row>
    <x:row r="5" ht="30" customHeight="1">
      <x:c r="A5" s="7" t="str">
        <x:v>AUROC</x:v>
      </x:c>
      <x:c r="B5" s="7" t="str">
        <x:v>0.674 (0.633 to 0.717)</x:v>
      </x:c>
      <x:c r="C5" s="7" t="str">
        <x:v>1/99 truncated expanded IPW</x:v>
      </x:c>
    </x:row>
    <x:row r="6" ht="30" customHeight="1">
      <x:c r="A6" s="3" t="str">
        <x:v>AUPRC</x:v>
      </x:c>
      <x:c r="B6" s="3" t="str">
        <x:v>0.241 (0.201 to 0.293)</x:v>
      </x:c>
      <x:c r="C6" s="3" t="str">
        <x:v>1/99 truncated expanded IPW</x:v>
      </x:c>
    </x:row>
    <x:row r="7" ht="30" customHeight="1">
      <x:c r="A7" s="7" t="str">
        <x:v>Brier score</x:v>
      </x:c>
      <x:c r="B7" s="7" t="str">
        <x:v>0.0937 (0.0845 to 0.1034)</x:v>
      </x:c>
      <x:c r="C7" s="7" t="str">
        <x:v>AIPW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26583"/>
  </x:sheetPr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23" hidden="0" customWidth="1"/>
    <x:col min="4" max="4" width="22" hidden="0" customWidth="1"/>
    <x:col min="5" max="5" width="23" hidden="0" customWidth="1"/>
    <x:col min="6" max="6" width="23" hidden="0" customWidth="1"/>
    <x:col min="7" max="7" width="26" hidden="0" customWidth="1"/>
    <x:col min="8" max="8" width="27" hidden="0" customWidth="1"/>
  </x:cols>
  <x:sheetData>
    <x:row r="1" ht="64" customHeight="1">
      <x:c r="A1" s="6" t="str">
        <x:v>Cutoff</x:v>
      </x:c>
      <x:c r="B1" s="6" t="str">
        <x:v>Alerts, n</x:v>
      </x:c>
      <x:c r="C1" s="6" t="str">
        <x:v>Alerts/1,000</x:v>
      </x:c>
      <x:c r="D1" s="6" t="str">
        <x:v>TP/1,000</x:v>
      </x:c>
      <x:c r="E1" s="6" t="str">
        <x:v>FP/1,000</x:v>
      </x:c>
      <x:c r="F1" s="6" t="str">
        <x:v>PPV</x:v>
      </x:c>
      <x:c r="G1" s="6" t="str">
        <x:v>Absolute NB</x:v>
      </x:c>
      <x:c r="H1" s="6" t="str">
        <x:v>Incremental NB</x:v>
      </x:c>
    </x:row>
    <x:row r="2" ht="36" customHeight="1">
      <x:c r="A2" s="3" t="str">
        <x:v>5%</x:v>
      </x:c>
      <x:c r="B2" s="3" t="str">
        <x:v>2,309 (1,954 to 2,513)</x:v>
      </x:c>
      <x:c r="C2" s="3" t="str">
        <x:v>892.5 (755.3 to 971.4)</x:v>
      </x:c>
      <x:c r="D2" s="3" t="str">
        <x:v>108.4 (92.5 to 120.0)</x:v>
      </x:c>
      <x:c r="E2" s="3" t="str">
        <x:v>784.2 (653.4 to 860.9)</x:v>
      </x:c>
      <x:c r="F2" s="3" t="str">
        <x:v>0.121 (0.105 to 0.140)</x:v>
      </x:c>
      <x:c r="G2" s="3" t="str">
        <x:v>0.0671 (0.0528 to 0.0791)</x:v>
      </x:c>
      <x:c r="H2" s="3" t="str">
        <x:v>0.0022 (-0.0028 to 0.0046)</x:v>
      </x:c>
    </x:row>
    <x:row r="3" ht="36" customHeight="1">
      <x:c r="A3" s="7" t="str">
        <x:v>10%</x:v>
      </x:c>
      <x:c r="B3" s="7" t="str">
        <x:v>980 (755 to 1,259)</x:v>
      </x:c>
      <x:c r="C3" s="7" t="str">
        <x:v>378.8 (291.8 to 486.7)</x:v>
      </x:c>
      <x:c r="D3" s="7" t="str">
        <x:v>68.6 (53.3 to 83.6)</x:v>
      </x:c>
      <x:c r="E3" s="7" t="str">
        <x:v>310.2 (233.8 to 406.0)</x:v>
      </x:c>
      <x:c r="F3" s="7" t="str">
        <x:v>0.181 (0.149 to 0.213)</x:v>
      </x:c>
      <x:c r="G3" s="7" t="str">
        <x:v>0.0342 (0.0225 to 0.0446)</x:v>
      </x:c>
      <x:c r="H3" s="7" t="str">
        <x:v>0.0212 (0.0101 to 0.0297)</x:v>
      </x:c>
    </x:row>
    <x:row r="4" ht="36" customHeight="1">
      <x:c r="A4" s="3" t="str">
        <x:v>20%</x:v>
      </x:c>
      <x:c r="B4" s="3" t="str">
        <x:v>226 (168 to 298)</x:v>
      </x:c>
      <x:c r="C4" s="3" t="str">
        <x:v>87.4 (64.9 to 115.2)</x:v>
      </x:c>
      <x:c r="D4" s="3" t="str">
        <x:v>27.0 (20.0 to 35.0)</x:v>
      </x:c>
      <x:c r="E4" s="3" t="str">
        <x:v>60.4 (41.2 to 83.8)</x:v>
      </x:c>
      <x:c r="F4" s="3" t="str">
        <x:v>0.309 (0.244 to 0.388)</x:v>
      </x:c>
      <x:c r="G4" s="3" t="str">
        <x:v>0.0119 (0.0054 to 0.0198)</x:v>
      </x:c>
      <x:c r="H4" s="3" t="str">
        <x:v>0.0119 (0.0054 to 0.0198)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39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3" hidden="0" customWidth="1"/>
    <x:col min="8" max="8" width="14" hidden="0" customWidth="1"/>
    <x:col min="9" max="9" width="48" hidden="0" customWidth="1"/>
  </x:cols>
  <x:sheetData>
    <x:row r="1" ht="64" customHeight="1">
      <x:c r="A1" s="6" t="str">
        <x:v>Cohort</x:v>
      </x:c>
      <x:c r="B1" s="6" t="str">
        <x:v>Role</x:v>
      </x:c>
      <x:c r="C1" s="6" t="str">
        <x:v>Eligible</x:v>
      </x:c>
      <x:c r="D1" s="6" t="str">
        <x:v>Observed</x:v>
      </x:c>
      <x:c r="E1" s="6" t="str">
        <x:v>Unobserved</x:v>
      </x:c>
      <x:c r="F1" s="6" t="str">
        <x:v>Observed rate</x:v>
      </x:c>
      <x:c r="G1" s="6" t="str">
        <x:v>Events</x:v>
      </x:c>
      <x:c r="H1" s="6" t="str">
        <x:v>MOVER overlap</x:v>
      </x:c>
      <x:c r="I1" s="6" t="str">
        <x:v>Denominator definition</x:v>
      </x:c>
    </x:row>
    <x:row r="2" ht="30" customHeight="1">
      <x:c r="A2" s="3" t="str">
        <x:v>INSPIRE</x:v>
      </x:c>
      <x:c r="B2" s="3" t="str">
        <x:v>MAR source development</x:v>
      </x:c>
      <x:c r="C2" s="9" t="n">
        <x:v>33394</x:v>
      </x:c>
      <x:c r="D2" s="9" t="n">
        <x:v>24872</x:v>
      </x:c>
      <x:c r="E2" s="9" t="n">
        <x:v>8522</x:v>
      </x:c>
      <x:c r="F2" s="11" t="n">
        <x:v>0.7448</x:v>
      </x:c>
      <x:c r="G2" s="9" t="n">
        <x:v>1680</x:v>
      </x:c>
      <x:c r="H2" s="3" t="str">
        <x:v>NA</x:v>
      </x:c>
      <x:c r="I2" s="3" t="str">
        <x:v>NA</x:v>
      </x:c>
    </x:row>
    <x:row r="3" ht="30" customHeight="1">
      <x:c r="A3" s="7" t="str">
        <x:v>MOVER 2021</x:v>
      </x:c>
      <x:c r="B3" s="7" t="str">
        <x:v>MAR local recalibration</x:v>
      </x:c>
      <x:c r="C3" s="10" t="n">
        <x:v>2802</x:v>
      </x:c>
      <x:c r="D3" s="10" t="n">
        <x:v>2212</x:v>
      </x:c>
      <x:c r="E3" s="10" t="n">
        <x:v>590</x:v>
      </x:c>
      <x:c r="F3" s="12" t="n">
        <x:v>0.7894</x:v>
      </x:c>
      <x:c r="G3" s="10" t="n">
        <x:v>274</x:v>
      </x:c>
      <x:c r="H3" s="10" t="n">
        <x:v>0</x:v>
      </x:c>
      <x:c r="I3" s="7" t="str">
        <x:v>NA</x:v>
      </x:c>
    </x:row>
    <x:row r="4" ht="30" customHeight="1">
      <x:c r="A4" s="3" t="str">
        <x:v>MOVER 2022</x:v>
      </x:c>
      <x:c r="B4" s="3" t="str">
        <x:v>post-exploration temporal evaluation</x:v>
      </x:c>
      <x:c r="C4" s="9" t="n">
        <x:v>2587</x:v>
      </x:c>
      <x:c r="D4" s="9" t="n">
        <x:v>2033</x:v>
      </x:c>
      <x:c r="E4" s="9" t="n">
        <x:v>554</x:v>
      </x:c>
      <x:c r="F4" s="11" t="n">
        <x:v>0.7859</x:v>
      </x:c>
      <x:c r="G4" s="9" t="n">
        <x:v>259</x:v>
      </x:c>
      <x:c r="H4" s="9" t="n">
        <x:v>0</x:v>
      </x:c>
      <x:c r="I4" s="3" t="str">
        <x:v>NA</x:v>
      </x:c>
    </x:row>
    <x:row r="5" ht="50" customHeight="1">
      <x:c r="A5" s="7" t="str">
        <x:v>VitalDB available analysis-ready observed cohort</x:v>
      </x:c>
      <x:c r="B5" s="7" t="str">
        <x:v>supportive observed-cohort stress test</x:v>
      </x:c>
      <x:c r="C5" s="7" t="str">
        <x:v>NA</x:v>
      </x:c>
      <x:c r="D5" s="10" t="n">
        <x:v>4095</x:v>
      </x:c>
      <x:c r="E5" s="7" t="str">
        <x:v>NA</x:v>
      </x:c>
      <x:c r="F5" s="7" t="str">
        <x:v>NA</x:v>
      </x:c>
      <x:c r="G5" s="10" t="n">
        <x:v>271</x:v>
      </x:c>
      <x:c r="H5" s="7" t="str">
        <x:v>NA</x:v>
      </x:c>
      <x:c r="I5" s="7" t="str">
        <x:v>6,388 official released cases reconstructed; source-compatible all-eligible denominator not used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64" customHeight="1">
      <x:c r="A1" s="6" t="str">
        <x:v>Phase</x:v>
      </x:c>
      <x:c r="B1" s="6" t="str">
        <x:v>Group</x:v>
      </x:c>
      <x:c r="C1" s="6" t="str">
        <x:v>n</x:v>
      </x:c>
      <x:c r="D1" s="6" t="str">
        <x:v>Age mean</x:v>
      </x:c>
      <x:c r="E1" s="6" t="str">
        <x:v>Age SD</x:v>
      </x:c>
      <x:c r="F1" s="6" t="str">
        <x:v>Male %</x:v>
      </x:c>
      <x:c r="G1" s="6" t="str">
        <x:v>ASA mean</x:v>
      </x:c>
      <x:c r="H1" s="6" t="str">
        <x:v>Duration, h</x:v>
      </x:c>
      <x:c r="I1" s="6" t="str">
        <x:v>Baseline Cr</x:v>
      </x:c>
      <x:c r="J1" s="6" t="str">
        <x:v>Observed AKI</x:v>
      </x:c>
    </x:row>
    <x:row r="2" ht="30" customHeight="1">
      <x:c r="A2" s="3" t="str">
        <x:v>INSPIRE</x:v>
      </x:c>
      <x:c r="B2" s="3" t="str">
        <x:v>all eligible</x:v>
      </x:c>
      <x:c r="C2" s="9" t="n">
        <x:v>33394</x:v>
      </x:c>
      <x:c r="D2" s="11" t="n">
        <x:v>55.98</x:v>
      </x:c>
      <x:c r="E2" s="11" t="n">
        <x:v>15.84</x:v>
      </x:c>
      <x:c r="F2" s="11" t="n">
        <x:v>51.42</x:v>
      </x:c>
      <x:c r="G2" s="11" t="n">
        <x:v>1.77</x:v>
      </x:c>
      <x:c r="H2" s="11" t="n">
        <x:v>3.01</x:v>
      </x:c>
      <x:c r="I2" s="11" t="n">
        <x:v>0.85</x:v>
      </x:c>
      <x:c r="J2" s="3" t="str">
        <x:v>NA</x:v>
      </x:c>
    </x:row>
    <x:row r="3" ht="30" customHeight="1">
      <x:c r="A3" s="7" t="str">
        <x:v>INSPIRE</x:v>
      </x:c>
      <x:c r="B3" s="7" t="str">
        <x:v>outcome observed</x:v>
      </x:c>
      <x:c r="C3" s="10" t="n">
        <x:v>24872</x:v>
      </x:c>
      <x:c r="D3" s="12" t="n">
        <x:v>57.56</x:v>
      </x:c>
      <x:c r="E3" s="12" t="n">
        <x:v>15.47</x:v>
      </x:c>
      <x:c r="F3" s="12" t="n">
        <x:v>54.49</x:v>
      </x:c>
      <x:c r="G3" s="12" t="n">
        <x:v>1.83</x:v>
      </x:c>
      <x:c r="H3" s="12" t="n">
        <x:v>3.47</x:v>
      </x:c>
      <x:c r="I3" s="12" t="n">
        <x:v>0.86</x:v>
      </x:c>
      <x:c r="J3" s="10" t="n">
        <x:v>1680</x:v>
      </x:c>
    </x:row>
    <x:row r="4" ht="36" customHeight="1">
      <x:c r="A4" s="3" t="str">
        <x:v>INSPIRE</x:v>
      </x:c>
      <x:c r="B4" s="3" t="str">
        <x:v>outcome unobserved</x:v>
      </x:c>
      <x:c r="C4" s="9" t="n">
        <x:v>8522</x:v>
      </x:c>
      <x:c r="D4" s="11" t="n">
        <x:v>51.35</x:v>
      </x:c>
      <x:c r="E4" s="11" t="n">
        <x:v>15.99</x:v>
      </x:c>
      <x:c r="F4" s="11" t="n">
        <x:v>42.45</x:v>
      </x:c>
      <x:c r="G4" s="11" t="n">
        <x:v>1.6</x:v>
      </x:c>
      <x:c r="H4" s="11" t="n">
        <x:v>1.68</x:v>
      </x:c>
      <x:c r="I4" s="11" t="n">
        <x:v>0.82</x:v>
      </x:c>
      <x:c r="J4" s="3" t="str">
        <x:v>NA</x:v>
      </x:c>
    </x:row>
    <x:row r="5" ht="30" customHeight="1">
      <x:c r="A5" s="7" t="str">
        <x:v>MOVER 2021</x:v>
      </x:c>
      <x:c r="B5" s="7" t="str">
        <x:v>all eligible</x:v>
      </x:c>
      <x:c r="C5" s="10" t="n">
        <x:v>2802</x:v>
      </x:c>
      <x:c r="D5" s="12" t="n">
        <x:v>51.36</x:v>
      </x:c>
      <x:c r="E5" s="12" t="n">
        <x:v>19.32</x:v>
      </x:c>
      <x:c r="F5" s="12" t="n">
        <x:v>59.74</x:v>
      </x:c>
      <x:c r="G5" s="12" t="n">
        <x:v>2.7</x:v>
      </x:c>
      <x:c r="H5" s="12" t="n">
        <x:v>3.36</x:v>
      </x:c>
      <x:c r="I5" s="12" t="n">
        <x:v>0.9</x:v>
      </x:c>
      <x:c r="J5" s="7" t="str">
        <x:v>NA</x:v>
      </x:c>
    </x:row>
    <x:row r="6" ht="30" customHeight="1">
      <x:c r="A6" s="3" t="str">
        <x:v>MOVER 2021</x:v>
      </x:c>
      <x:c r="B6" s="3" t="str">
        <x:v>outcome observed</x:v>
      </x:c>
      <x:c r="C6" s="9" t="n">
        <x:v>2212</x:v>
      </x:c>
      <x:c r="D6" s="11" t="n">
        <x:v>53.44</x:v>
      </x:c>
      <x:c r="E6" s="11" t="n">
        <x:v>19.31</x:v>
      </x:c>
      <x:c r="F6" s="11" t="n">
        <x:v>60.99</x:v>
      </x:c>
      <x:c r="G6" s="11" t="n">
        <x:v>2.83</x:v>
      </x:c>
      <x:c r="H6" s="11" t="n">
        <x:v>3.57</x:v>
      </x:c>
      <x:c r="I6" s="11" t="n">
        <x:v>0.91</x:v>
      </x:c>
      <x:c r="J6" s="9" t="n">
        <x:v>274</x:v>
      </x:c>
    </x:row>
    <x:row r="7" ht="36" customHeight="1">
      <x:c r="A7" s="7" t="str">
        <x:v>MOVER 2021</x:v>
      </x:c>
      <x:c r="B7" s="7" t="str">
        <x:v>outcome unobserved</x:v>
      </x:c>
      <x:c r="C7" s="10" t="n">
        <x:v>590</x:v>
      </x:c>
      <x:c r="D7" s="12" t="n">
        <x:v>43.56</x:v>
      </x:c>
      <x:c r="E7" s="12" t="n">
        <x:v>17.26</x:v>
      </x:c>
      <x:c r="F7" s="12" t="n">
        <x:v>55.08</x:v>
      </x:c>
      <x:c r="G7" s="12" t="n">
        <x:v>2.2</x:v>
      </x:c>
      <x:c r="H7" s="12" t="n">
        <x:v>2.57</x:v>
      </x:c>
      <x:c r="I7" s="12" t="n">
        <x:v>0.89</x:v>
      </x:c>
      <x:c r="J7" s="7" t="str">
        <x:v>NA</x:v>
      </x:c>
    </x:row>
    <x:row r="8" ht="30" customHeight="1">
      <x:c r="A8" s="3" t="str">
        <x:v>MOVER 2022</x:v>
      </x:c>
      <x:c r="B8" s="3" t="str">
        <x:v>all eligible</x:v>
      </x:c>
      <x:c r="C8" s="9" t="n">
        <x:v>2587</x:v>
      </x:c>
      <x:c r="D8" s="11" t="n">
        <x:v>51.62</x:v>
      </x:c>
      <x:c r="E8" s="11" t="n">
        <x:v>19.52</x:v>
      </x:c>
      <x:c r="F8" s="11" t="n">
        <x:v>57.98</x:v>
      </x:c>
      <x:c r="G8" s="11" t="n">
        <x:v>2.67</x:v>
      </x:c>
      <x:c r="H8" s="11" t="n">
        <x:v>3.26</x:v>
      </x:c>
      <x:c r="I8" s="11" t="n">
        <x:v>0.91</x:v>
      </x:c>
      <x:c r="J8" s="3" t="str">
        <x:v>NA</x:v>
      </x:c>
    </x:row>
    <x:row r="9" ht="30" customHeight="1">
      <x:c r="A9" s="7" t="str">
        <x:v>MOVER 2022</x:v>
      </x:c>
      <x:c r="B9" s="7" t="str">
        <x:v>outcome observed</x:v>
      </x:c>
      <x:c r="C9" s="10" t="n">
        <x:v>2033</x:v>
      </x:c>
      <x:c r="D9" s="12" t="n">
        <x:v>54.13</x:v>
      </x:c>
      <x:c r="E9" s="12" t="n">
        <x:v>19.51</x:v>
      </x:c>
      <x:c r="F9" s="12" t="n">
        <x:v>59.76</x:v>
      </x:c>
      <x:c r="G9" s="12" t="n">
        <x:v>2.83</x:v>
      </x:c>
      <x:c r="H9" s="12" t="n">
        <x:v>3.47</x:v>
      </x:c>
      <x:c r="I9" s="12" t="n">
        <x:v>0.92</x:v>
      </x:c>
      <x:c r="J9" s="10" t="n">
        <x:v>259</x:v>
      </x:c>
    </x:row>
    <x:row r="10" ht="36" customHeight="1">
      <x:c r="A10" s="3" t="str">
        <x:v>MOVER 2022</x:v>
      </x:c>
      <x:c r="B10" s="3" t="str">
        <x:v>outcome unobserved</x:v>
      </x:c>
      <x:c r="C10" s="9" t="n">
        <x:v>554</x:v>
      </x:c>
      <x:c r="D10" s="11" t="n">
        <x:v>42.43</x:v>
      </x:c>
      <x:c r="E10" s="11" t="n">
        <x:v>16.63</x:v>
      </x:c>
      <x:c r="F10" s="11" t="n">
        <x:v>51.44</x:v>
      </x:c>
      <x:c r="G10" s="11" t="n">
        <x:v>2.08</x:v>
      </x:c>
      <x:c r="H10" s="11" t="n">
        <x:v>2.48</x:v>
      </x:c>
      <x:c r="I10" s="11" t="n">
        <x:v>0.84</x:v>
      </x:c>
      <x:c r="J10" s="3" t="str">
        <x:v>NA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6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64" customHeight="1">
      <x:c r="A1" s="6" t="str">
        <x:v>Phase</x:v>
      </x:c>
      <x:c r="B1" s="6" t="str">
        <x:v>Model</x:v>
      </x:c>
      <x:c r="C1" s="6" t="str">
        <x:v>Eligible</x:v>
      </x:c>
      <x:c r="D1" s="6" t="str">
        <x:v>Observed</x:v>
      </x:c>
      <x:c r="E1" s="6" t="str">
        <x:v>Rate</x:v>
      </x:c>
      <x:c r="F1" s="6" t="str">
        <x:v>g min</x:v>
      </x:c>
      <x:c r="G1" s="6" t="str">
        <x:v>g p01</x:v>
      </x:c>
      <x:c r="H1" s="6" t="str">
        <x:v>g median</x:v>
      </x:c>
      <x:c r="I1" s="6" t="str">
        <x:v>g p99</x:v>
      </x:c>
      <x:c r="J1" s="6" t="str">
        <x:v>g max</x:v>
      </x:c>
      <x:c r="K1" s="6" t="str">
        <x:v>Outside support</x:v>
      </x:c>
      <x:c r="L1" s="6" t="str">
        <x:v>AUROC</x:v>
      </x:c>
      <x:c r="M1" s="6" t="str">
        <x:v>Brier</x:v>
      </x:c>
      <x:c r="N1" s="6" t="str">
        <x:v>Max weight</x:v>
      </x:c>
      <x:c r="O1" s="6" t="str">
        <x:v>ESS</x:v>
      </x:c>
    </x:row>
    <x:row r="2" ht="30" customHeight="1">
      <x:c r="A2" s="3" t="str">
        <x:v>INSPIRE</x:v>
      </x:c>
      <x:c r="B2" s="3" t="str">
        <x:v>basic</x:v>
      </x:c>
      <x:c r="C2" s="9" t="n">
        <x:v>33394</x:v>
      </x:c>
      <x:c r="D2" s="9" t="n">
        <x:v>24872</x:v>
      </x:c>
      <x:c r="E2" s="11" t="n">
        <x:v>0.745</x:v>
      </x:c>
      <x:c r="F2" s="11" t="n">
        <x:v>0.102</x:v>
      </x:c>
      <x:c r="G2" s="11" t="n">
        <x:v>0.212</x:v>
      </x:c>
      <x:c r="H2" s="11" t="n">
        <x:v>0.8</x:v>
      </x:c>
      <x:c r="I2" s="9" t="n">
        <x:v>1</x:v>
      </x:c>
      <x:c r="J2" s="9" t="n">
        <x:v>1</x:v>
      </x:c>
      <x:c r="K2" s="11" t="n">
        <x:v>0.003</x:v>
      </x:c>
      <x:c r="L2" s="11" t="n">
        <x:v>0.837</x:v>
      </x:c>
      <x:c r="M2" s="11" t="n">
        <x:v>0.137</x:v>
      </x:c>
      <x:c r="N2" s="3" t="str">
        <x:v>NA</x:v>
      </x:c>
      <x:c r="O2" s="3" t="str">
        <x:v>NA</x:v>
      </x:c>
    </x:row>
    <x:row r="3" ht="30" customHeight="1">
      <x:c r="A3" s="7" t="str">
        <x:v>INSPIRE</x:v>
      </x:c>
      <x:c r="B3" s="7" t="str">
        <x:v>expanded</x:v>
      </x:c>
      <x:c r="C3" s="10" t="n">
        <x:v>33394</x:v>
      </x:c>
      <x:c r="D3" s="10" t="n">
        <x:v>24872</x:v>
      </x:c>
      <x:c r="E3" s="12" t="n">
        <x:v>0.745</x:v>
      </x:c>
      <x:c r="F3" s="12" t="n">
        <x:v>0.012</x:v>
      </x:c>
      <x:c r="G3" s="12" t="n">
        <x:v>0.195</x:v>
      </x:c>
      <x:c r="H3" s="12" t="n">
        <x:v>0.815</x:v>
      </x:c>
      <x:c r="I3" s="12" t="n">
        <x:v>0.996</x:v>
      </x:c>
      <x:c r="J3" s="10" t="n">
        <x:v>1</x:v>
      </x:c>
      <x:c r="K3" s="12" t="n">
        <x:v>0.009</x:v>
      </x:c>
      <x:c r="L3" s="12" t="n">
        <x:v>0.845</x:v>
      </x:c>
      <x:c r="M3" s="12" t="n">
        <x:v>0.133</x:v>
      </x:c>
      <x:c r="N3" s="12" t="n">
        <x:v>3.729</x:v>
      </x:c>
      <x:c r="O3" s="10" t="n">
        <x:v>21751</x:v>
      </x:c>
    </x:row>
    <x:row r="4" ht="30" customHeight="1">
      <x:c r="A4" s="3" t="str">
        <x:v>MOVER 2021</x:v>
      </x:c>
      <x:c r="B4" s="3" t="str">
        <x:v>basic</x:v>
      </x:c>
      <x:c r="C4" s="9" t="n">
        <x:v>2802</x:v>
      </x:c>
      <x:c r="D4" s="9" t="n">
        <x:v>2212</x:v>
      </x:c>
      <x:c r="E4" s="11" t="n">
        <x:v>0.789</x:v>
      </x:c>
      <x:c r="F4" s="11" t="n">
        <x:v>0.409</x:v>
      </x:c>
      <x:c r="G4" s="11" t="n">
        <x:v>0.481</x:v>
      </x:c>
      <x:c r="H4" s="11" t="n">
        <x:v>0.81</x:v>
      </x:c>
      <x:c r="I4" s="11" t="n">
        <x:v>0.988</x:v>
      </x:c>
      <x:c r="J4" s="9" t="n">
        <x:v>1</x:v>
      </x:c>
      <x:c r="K4" s="11" t="n">
        <x:v>0.025</x:v>
      </x:c>
      <x:c r="L4" s="11" t="n">
        <x:v>0.716</x:v>
      </x:c>
      <x:c r="M4" s="11" t="n">
        <x:v>0.15</x:v>
      </x:c>
      <x:c r="N4" s="3" t="str">
        <x:v>NA</x:v>
      </x:c>
      <x:c r="O4" s="3" t="str">
        <x:v>NA</x:v>
      </x:c>
    </x:row>
    <x:row r="5" ht="30" customHeight="1">
      <x:c r="A5" s="7" t="str">
        <x:v>MOVER 2021</x:v>
      </x:c>
      <x:c r="B5" s="7" t="str">
        <x:v>expanded</x:v>
      </x:c>
      <x:c r="C5" s="10" t="n">
        <x:v>2802</x:v>
      </x:c>
      <x:c r="D5" s="10" t="n">
        <x:v>2212</x:v>
      </x:c>
      <x:c r="E5" s="12" t="n">
        <x:v>0.789</x:v>
      </x:c>
      <x:c r="F5" s="12" t="n">
        <x:v>0.168</x:v>
      </x:c>
      <x:c r="G5" s="12" t="n">
        <x:v>0.343</x:v>
      </x:c>
      <x:c r="H5" s="12" t="n">
        <x:v>0.846</x:v>
      </x:c>
      <x:c r="I5" s="12" t="n">
        <x:v>0.995</x:v>
      </x:c>
      <x:c r="J5" s="12" t="n">
        <x:v>0.998</x:v>
      </x:c>
      <x:c r="K5" s="12" t="n">
        <x:v>0.053</x:v>
      </x:c>
      <x:c r="L5" s="12" t="n">
        <x:v>0.797</x:v>
      </x:c>
      <x:c r="M5" s="12" t="n">
        <x:v>0.133</x:v>
      </x:c>
      <x:c r="N5" s="12" t="n">
        <x:v>2.491</x:v>
      </x:c>
      <x:c r="O5" s="10" t="n">
        <x:v>2081</x:v>
      </x:c>
    </x:row>
    <x:row r="6" ht="30" customHeight="1">
      <x:c r="A6" s="3" t="str">
        <x:v>MOVER 2022</x:v>
      </x:c>
      <x:c r="B6" s="3" t="str">
        <x:v>basic</x:v>
      </x:c>
      <x:c r="C6" s="9" t="n">
        <x:v>2587</x:v>
      </x:c>
      <x:c r="D6" s="9" t="n">
        <x:v>2033</x:v>
      </x:c>
      <x:c r="E6" s="11" t="n">
        <x:v>0.786</x:v>
      </x:c>
      <x:c r="F6" s="11" t="n">
        <x:v>0.351</x:v>
      </x:c>
      <x:c r="G6" s="11" t="n">
        <x:v>0.444</x:v>
      </x:c>
      <x:c r="H6" s="11" t="n">
        <x:v>0.813</x:v>
      </x:c>
      <x:c r="I6" s="11" t="n">
        <x:v>0.991</x:v>
      </x:c>
      <x:c r="J6" s="11" t="n">
        <x:v>0.999</x:v>
      </x:c>
      <x:c r="K6" s="11" t="n">
        <x:v>0.009</x:v>
      </x:c>
      <x:c r="L6" s="11" t="n">
        <x:v>0.731</x:v>
      </x:c>
      <x:c r="M6" s="11" t="n">
        <x:v>0.15</x:v>
      </x:c>
      <x:c r="N6" s="3" t="str">
        <x:v>NA</x:v>
      </x:c>
      <x:c r="O6" s="3" t="str">
        <x:v>NA</x:v>
      </x:c>
    </x:row>
    <x:row r="7" ht="30" customHeight="1">
      <x:c r="A7" s="7" t="str">
        <x:v>MOVER 2022</x:v>
      </x:c>
      <x:c r="B7" s="7" t="str">
        <x:v>expanded</x:v>
      </x:c>
      <x:c r="C7" s="10" t="n">
        <x:v>2587</x:v>
      </x:c>
      <x:c r="D7" s="10" t="n">
        <x:v>2033</x:v>
      </x:c>
      <x:c r="E7" s="12" t="n">
        <x:v>0.786</x:v>
      </x:c>
      <x:c r="F7" s="12" t="n">
        <x:v>0.183</x:v>
      </x:c>
      <x:c r="G7" s="12" t="n">
        <x:v>0.298</x:v>
      </x:c>
      <x:c r="H7" s="12" t="n">
        <x:v>0.855</x:v>
      </x:c>
      <x:c r="I7" s="12" t="n">
        <x:v>0.996</x:v>
      </x:c>
      <x:c r="J7" s="12" t="n">
        <x:v>0.998</x:v>
      </x:c>
      <x:c r="K7" s="12" t="n">
        <x:v>0.013</x:v>
      </x:c>
      <x:c r="L7" s="12" t="n">
        <x:v>0.817</x:v>
      </x:c>
      <x:c r="M7" s="12" t="n">
        <x:v>0.129</x:v>
      </x:c>
      <x:c r="N7" s="12" t="n">
        <x:v>2.826</x:v>
      </x:c>
      <x:c r="O7" s="10" t="n">
        <x:v>1879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3" hidden="0" customWidth="1"/>
    <x:col min="4" max="4" width="19" hidden="0" customWidth="1"/>
    <x:col min="5" max="5" width="19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9" hidden="0" customWidth="1"/>
  </x:cols>
  <x:sheetData>
    <x:row r="1" ht="64" customHeight="1">
      <x:c r="A1" s="6" t="str">
        <x:v>Phase</x:v>
      </x:c>
      <x:c r="B1" s="6" t="str">
        <x:v>Evaluation</x:v>
      </x:c>
      <x:c r="C1" s="6" t="str">
        <x:v>n</x:v>
      </x:c>
      <x:c r="D1" s="6" t="str">
        <x:v>Weighted n</x:v>
      </x:c>
      <x:c r="E1" s="6" t="str">
        <x:v>Events</x:v>
      </x:c>
      <x:c r="F1" s="6" t="str">
        <x:v>Event rate</x:v>
      </x:c>
      <x:c r="G1" s="6" t="str">
        <x:v>Predicted</x:v>
      </x:c>
      <x:c r="H1" s="6" t="str">
        <x:v>O/E</x:v>
      </x:c>
      <x:c r="I1" s="6" t="str">
        <x:v>Slope</x:v>
      </x:c>
      <x:c r="J1" s="6" t="str">
        <x:v>AUROC</x:v>
      </x:c>
      <x:c r="K1" s="6" t="str">
        <x:v>AUPRC</x:v>
      </x:c>
      <x:c r="L1" s="6" t="str">
        <x:v>Brier</x:v>
      </x:c>
      <x:c r="M1" s="6" t="str">
        <x:v>10-q grouped error</x:v>
      </x:c>
    </x:row>
    <x:row r="2" ht="30" customHeight="1">
      <x:c r="A2" s="3" t="str">
        <x:v>INSPIRE</x:v>
      </x:c>
      <x:c r="B2" s="3" t="str">
        <x:v>observed-unweighted</x:v>
      </x:c>
      <x:c r="C2" s="9" t="n">
        <x:v>24872</x:v>
      </x:c>
      <x:c r="D2" s="9" t="n">
        <x:v>24872</x:v>
      </x:c>
      <x:c r="E2" s="9" t="n">
        <x:v>1680</x:v>
      </x:c>
      <x:c r="F2" s="11" t="n">
        <x:v>0.068</x:v>
      </x:c>
      <x:c r="G2" s="11" t="n">
        <x:v>0.067</x:v>
      </x:c>
      <x:c r="H2" s="11" t="n">
        <x:v>1.001</x:v>
      </x:c>
      <x:c r="I2" s="11" t="n">
        <x:v>1.029</x:v>
      </x:c>
      <x:c r="J2" s="11" t="n">
        <x:v>0.695</x:v>
      </x:c>
      <x:c r="K2" s="11" t="n">
        <x:v>0.152</x:v>
      </x:c>
      <x:c r="L2" s="11" t="n">
        <x:v>0.061</x:v>
      </x:c>
      <x:c r="M2" s="11" t="n">
        <x:v>0.006</x:v>
      </x:c>
    </x:row>
    <x:row r="3" ht="36" customHeight="1">
      <x:c r="A3" s="7" t="str">
        <x:v>INSPIRE</x:v>
      </x:c>
      <x:c r="B3" s="7" t="str">
        <x:v>observed-IPW-weighted</x:v>
      </x:c>
      <x:c r="C3" s="10" t="n">
        <x:v>24872</x:v>
      </x:c>
      <x:c r="D3" s="12" t="n">
        <x:v>33394.00000000001</x:v>
      </x:c>
      <x:c r="E3" s="12" t="n">
        <x:v>1973.6475039412817</x:v>
      </x:c>
      <x:c r="F3" s="12" t="n">
        <x:v>0.059</x:v>
      </x:c>
      <x:c r="G3" s="12" t="n">
        <x:v>0.061</x:v>
      </x:c>
      <x:c r="H3" s="12" t="n">
        <x:v>0.962</x:v>
      </x:c>
      <x:c r="I3" s="12" t="n">
        <x:v>1.111</x:v>
      </x:c>
      <x:c r="J3" s="12" t="n">
        <x:v>0.717</x:v>
      </x:c>
      <x:c r="K3" s="12" t="n">
        <x:v>0.146</x:v>
      </x:c>
      <x:c r="L3" s="12" t="n">
        <x:v>0.053</x:v>
      </x:c>
      <x:c r="M3" s="12" t="n">
        <x:v>0.007</x:v>
      </x:c>
    </x:row>
    <x:row r="4" ht="30" customHeight="1">
      <x:c r="A4" s="3" t="str">
        <x:v>MOVER 2021</x:v>
      </x:c>
      <x:c r="B4" s="3" t="str">
        <x:v>observed-unweighted</x:v>
      </x:c>
      <x:c r="C4" s="9" t="n">
        <x:v>2212</x:v>
      </x:c>
      <x:c r="D4" s="9" t="n">
        <x:v>2212</x:v>
      </x:c>
      <x:c r="E4" s="9" t="n">
        <x:v>274</x:v>
      </x:c>
      <x:c r="F4" s="11" t="n">
        <x:v>0.124</x:v>
      </x:c>
      <x:c r="G4" s="11" t="n">
        <x:v>0.123</x:v>
      </x:c>
      <x:c r="H4" s="11" t="n">
        <x:v>1.004</x:v>
      </x:c>
      <x:c r="I4" s="11" t="n">
        <x:v>0.911</x:v>
      </x:c>
      <x:c r="J4" s="11" t="n">
        <x:v>0.729</x:v>
      </x:c>
      <x:c r="K4" s="11" t="n">
        <x:v>0.298</x:v>
      </x:c>
      <x:c r="L4" s="11" t="n">
        <x:v>0.1</x:v>
      </x:c>
      <x:c r="M4" s="11" t="n">
        <x:v>0.02</x:v>
      </x:c>
    </x:row>
    <x:row r="5" ht="36" customHeight="1">
      <x:c r="A5" s="7" t="str">
        <x:v>MOVER 2021</x:v>
      </x:c>
      <x:c r="B5" s="7" t="str">
        <x:v>observed-IPW-weighted</x:v>
      </x:c>
      <x:c r="C5" s="10" t="n">
        <x:v>2212</x:v>
      </x:c>
      <x:c r="D5" s="10" t="n">
        <x:v>2802</x:v>
      </x:c>
      <x:c r="E5" s="12" t="n">
        <x:v>318.04403147345056</x:v>
      </x:c>
      <x:c r="F5" s="12" t="n">
        <x:v>0.114</x:v>
      </x:c>
      <x:c r="G5" s="12" t="n">
        <x:v>0.114</x:v>
      </x:c>
      <x:c r="H5" s="12" t="n">
        <x:v>0.995</x:v>
      </x:c>
      <x:c r="I5" s="12" t="n">
        <x:v>0.943</x:v>
      </x:c>
      <x:c r="J5" s="12" t="n">
        <x:v>0.737</x:v>
      </x:c>
      <x:c r="K5" s="12" t="n">
        <x:v>0.289</x:v>
      </x:c>
      <x:c r="L5" s="12" t="n">
        <x:v>0.092</x:v>
      </x:c>
      <x:c r="M5" s="12" t="n">
        <x:v>0.02</x:v>
      </x:c>
    </x:row>
    <x:row r="6" ht="30" customHeight="1">
      <x:c r="A6" s="3" t="str">
        <x:v>MOVER 2022</x:v>
      </x:c>
      <x:c r="B6" s="3" t="str">
        <x:v>observed-unweighted</x:v>
      </x:c>
      <x:c r="C6" s="9" t="n">
        <x:v>2033</x:v>
      </x:c>
      <x:c r="D6" s="9" t="n">
        <x:v>2033</x:v>
      </x:c>
      <x:c r="E6" s="9" t="n">
        <x:v>259</x:v>
      </x:c>
      <x:c r="F6" s="11" t="n">
        <x:v>0.127</x:v>
      </x:c>
      <x:c r="G6" s="11" t="n">
        <x:v>0.127</x:v>
      </x:c>
      <x:c r="H6" s="9" t="n">
        <x:v>1</x:v>
      </x:c>
      <x:c r="I6" s="11" t="n">
        <x:v>0.943</x:v>
      </x:c>
      <x:c r="J6" s="11" t="n">
        <x:v>0.741</x:v>
      </x:c>
      <x:c r="K6" s="11" t="n">
        <x:v>0.306</x:v>
      </x:c>
      <x:c r="L6" s="11" t="n">
        <x:v>0.101</x:v>
      </x:c>
      <x:c r="M6" s="11" t="n">
        <x:v>0.022</x:v>
      </x:c>
    </x:row>
    <x:row r="7" ht="36" customHeight="1">
      <x:c r="A7" s="7" t="str">
        <x:v>MOVER 2022</x:v>
      </x:c>
      <x:c r="B7" s="7" t="str">
        <x:v>observed-IPW-weighted</x:v>
      </x:c>
      <x:c r="C7" s="10" t="n">
        <x:v>2033</x:v>
      </x:c>
      <x:c r="D7" s="12" t="n">
        <x:v>2587.0000000000005</x:v>
      </x:c>
      <x:c r="E7" s="12" t="n">
        <x:v>290.57977637395834</x:v>
      </x:c>
      <x:c r="F7" s="12" t="n">
        <x:v>0.112</x:v>
      </x:c>
      <x:c r="G7" s="12" t="n">
        <x:v>0.114</x:v>
      </x:c>
      <x:c r="H7" s="12" t="n">
        <x:v>0.987</x:v>
      </x:c>
      <x:c r="I7" s="12" t="n">
        <x:v>0.973</x:v>
      </x:c>
      <x:c r="J7" s="12" t="n">
        <x:v>0.755</x:v>
      </x:c>
      <x:c r="K7" s="12" t="n">
        <x:v>0.296</x:v>
      </x:c>
      <x:c r="L7" s="12" t="n">
        <x:v>0.09</x:v>
      </x:c>
      <x:c r="M7" s="12" t="n">
        <x:v>0.021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48" hidden="0" customWidth="1"/>
  </x:cols>
  <x:sheetData>
    <x:row r="1" ht="64" customHeight="1">
      <x:c r="A1" s="6" t="str">
        <x:v>Phase</x:v>
      </x:c>
      <x:c r="B1" s="6" t="str">
        <x:v>Variable</x:v>
      </x:c>
      <x:c r="C1" s="6" t="str">
        <x:v>Eligible</x:v>
      </x:c>
      <x:c r="D1" s="6" t="str">
        <x:v>Missing</x:v>
      </x:c>
      <x:c r="E1" s="6" t="str">
        <x:v>Missing %</x:v>
      </x:c>
      <x:c r="F1" s="6" t="str">
        <x:v>Handling</x:v>
      </x:c>
    </x:row>
    <x:row r="2" ht="30" customHeight="1">
      <x:c r="A2" s="3" t="str">
        <x:v>INSPIRE</x:v>
      </x:c>
      <x:c r="B2" s="3" t="str">
        <x:v>age</x:v>
      </x:c>
      <x:c r="C2" s="9" t="n">
        <x:v>33394</x:v>
      </x:c>
      <x:c r="D2" s="9" t="n">
        <x:v>0</x:v>
      </x:c>
      <x:c r="E2" s="9" t="n">
        <x:v>0</x:v>
      </x:c>
      <x:c r="F2" s="3" t="str">
        <x:v>median imputation</x:v>
      </x:c>
    </x:row>
    <x:row r="3" ht="30" customHeight="1">
      <x:c r="A3" s="7" t="str">
        <x:v>INSPIRE</x:v>
      </x:c>
      <x:c r="B3" s="7" t="str">
        <x:v>sex_male</x:v>
      </x:c>
      <x:c r="C3" s="10" t="n">
        <x:v>33394</x:v>
      </x:c>
      <x:c r="D3" s="10" t="n">
        <x:v>0</x:v>
      </x:c>
      <x:c r="E3" s="10" t="n">
        <x:v>0</x:v>
      </x:c>
      <x:c r="F3" s="7" t="str">
        <x:v>most-frequent imputation</x:v>
      </x:c>
    </x:row>
    <x:row r="4" ht="30" customHeight="1">
      <x:c r="A4" s="3" t="str">
        <x:v>INSPIRE</x:v>
      </x:c>
      <x:c r="B4" s="3" t="str">
        <x:v>duration_h</x:v>
      </x:c>
      <x:c r="C4" s="9" t="n">
        <x:v>33394</x:v>
      </x:c>
      <x:c r="D4" s="9" t="n">
        <x:v>0</x:v>
      </x:c>
      <x:c r="E4" s="9" t="n">
        <x:v>0</x:v>
      </x:c>
      <x:c r="F4" s="3" t="str">
        <x:v>median imputation</x:v>
      </x:c>
    </x:row>
    <x:row r="5" ht="36" customHeight="1">
      <x:c r="A5" s="7" t="str">
        <x:v>INSPIRE</x:v>
      </x:c>
      <x:c r="B5" s="7" t="str">
        <x:v>baseline_cr</x:v>
      </x:c>
      <x:c r="C5" s="10" t="n">
        <x:v>33394</x:v>
      </x:c>
      <x:c r="D5" s="10" t="n">
        <x:v>0</x:v>
      </x:c>
      <x:c r="E5" s="10" t="n">
        <x:v>0</x:v>
      </x:c>
      <x:c r="F5" s="7" t="str">
        <x:v>eligibility requires observed baseline creatinine</x:v>
      </x:c>
    </x:row>
    <x:row r="6" ht="36" customHeight="1">
      <x:c r="A6" s="3" t="str">
        <x:v>INSPIRE</x:v>
      </x:c>
      <x:c r="B6" s="3" t="str">
        <x:v>asa</x:v>
      </x:c>
      <x:c r="C6" s="9" t="n">
        <x:v>33394</x:v>
      </x:c>
      <x:c r="D6" s="9" t="n">
        <x:v>1151</x:v>
      </x:c>
      <x:c r="E6" s="11" t="n">
        <x:v>3.45</x:v>
      </x:c>
      <x:c r="F6" s="3" t="str">
        <x:v>most-frequent category in expanded nuisance models; not used by audit risk model</x:v>
      </x:c>
    </x:row>
    <x:row r="7" ht="36" customHeight="1">
      <x:c r="A7" s="7" t="str">
        <x:v>INSPIRE</x:v>
      </x:c>
      <x:c r="B7" s="7" t="str">
        <x:v>surgery_category</x:v>
      </x:c>
      <x:c r="C7" s="10" t="n">
        <x:v>33394</x:v>
      </x:c>
      <x:c r="D7" s="10" t="n">
        <x:v>0</x:v>
      </x:c>
      <x:c r="E7" s="10" t="n">
        <x:v>0</x:v>
      </x:c>
      <x:c r="F7" s="7" t="str">
        <x:v>structurally unavailable; not included in INSPIRE observation model</x:v>
      </x:c>
    </x:row>
    <x:row r="8" ht="36" customHeight="1">
      <x:c r="A8" s="3" t="str">
        <x:v>INSPIRE</x:v>
      </x:c>
      <x:c r="B8" s="3" t="str">
        <x:v>outcome_operational</x:v>
      </x:c>
      <x:c r="C8" s="9" t="n">
        <x:v>33394</x:v>
      </x:c>
      <x:c r="D8" s="9" t="n">
        <x:v>8522</x:v>
      </x:c>
      <x:c r="E8" s="11" t="n">
        <x:v>25.52</x:v>
      </x:c>
      <x:c r="F8" s="3" t="str">
        <x:v>not imputed as observed truth; addressed with IPW/AIPW and MNAR scenarios</x:v>
      </x:c>
    </x:row>
    <x:row r="9" ht="30" customHeight="1">
      <x:c r="A9" s="7" t="str">
        <x:v>MOVER 2021</x:v>
      </x:c>
      <x:c r="B9" s="7" t="str">
        <x:v>age</x:v>
      </x:c>
      <x:c r="C9" s="10" t="n">
        <x:v>2802</x:v>
      </x:c>
      <x:c r="D9" s="10" t="n">
        <x:v>0</x:v>
      </x:c>
      <x:c r="E9" s="10" t="n">
        <x:v>0</x:v>
      </x:c>
      <x:c r="F9" s="7" t="str">
        <x:v>median imputation</x:v>
      </x:c>
    </x:row>
    <x:row r="10" ht="30" customHeight="1">
      <x:c r="A10" s="3" t="str">
        <x:v>MOVER 2021</x:v>
      </x:c>
      <x:c r="B10" s="3" t="str">
        <x:v>sex_male</x:v>
      </x:c>
      <x:c r="C10" s="9" t="n">
        <x:v>2802</x:v>
      </x:c>
      <x:c r="D10" s="9" t="n">
        <x:v>0</x:v>
      </x:c>
      <x:c r="E10" s="9" t="n">
        <x:v>0</x:v>
      </x:c>
      <x:c r="F10" s="3" t="str">
        <x:v>most-frequent imputation</x:v>
      </x:c>
    </x:row>
    <x:row r="11" ht="30" customHeight="1">
      <x:c r="A11" s="7" t="str">
        <x:v>MOVER 2021</x:v>
      </x:c>
      <x:c r="B11" s="7" t="str">
        <x:v>duration_h</x:v>
      </x:c>
      <x:c r="C11" s="10" t="n">
        <x:v>2802</x:v>
      </x:c>
      <x:c r="D11" s="10" t="n">
        <x:v>0</x:v>
      </x:c>
      <x:c r="E11" s="10" t="n">
        <x:v>0</x:v>
      </x:c>
      <x:c r="F11" s="7" t="str">
        <x:v>median imputation</x:v>
      </x:c>
    </x:row>
    <x:row r="12" ht="36" customHeight="1">
      <x:c r="A12" s="3" t="str">
        <x:v>MOVER 2021</x:v>
      </x:c>
      <x:c r="B12" s="3" t="str">
        <x:v>baseline_cr</x:v>
      </x:c>
      <x:c r="C12" s="9" t="n">
        <x:v>2802</x:v>
      </x:c>
      <x:c r="D12" s="9" t="n">
        <x:v>0</x:v>
      </x:c>
      <x:c r="E12" s="9" t="n">
        <x:v>0</x:v>
      </x:c>
      <x:c r="F12" s="3" t="str">
        <x:v>eligibility requires observed baseline creatinine</x:v>
      </x:c>
    </x:row>
    <x:row r="13" ht="36" customHeight="1">
      <x:c r="A13" s="7" t="str">
        <x:v>MOVER 2021</x:v>
      </x:c>
      <x:c r="B13" s="7" t="str">
        <x:v>asa</x:v>
      </x:c>
      <x:c r="C13" s="10" t="n">
        <x:v>2802</x:v>
      </x:c>
      <x:c r="D13" s="10" t="str">
        <x:v>&lt;5</x:v>
      </x:c>
      <x:c r="E13" s="12" t="str">
        <x:v>&lt;0.18</x:v>
      </x:c>
      <x:c r="F13" s="7" t="str">
        <x:v>most-frequent category in expanded nuisance models; not used by audit risk model</x:v>
      </x:c>
    </x:row>
    <x:row r="14" ht="36" customHeight="1">
      <x:c r="A14" s="3" t="str">
        <x:v>MOVER 2021</x:v>
      </x:c>
      <x:c r="B14" s="3" t="str">
        <x:v>surgery_category</x:v>
      </x:c>
      <x:c r="C14" s="9" t="n">
        <x:v>2802</x:v>
      </x:c>
      <x:c r="D14" s="9" t="n">
        <x:v>0</x:v>
      </x:c>
      <x:c r="E14" s="9" t="n">
        <x:v>0</x:v>
      </x:c>
      <x:c r="F14" s="3" t="str">
        <x:v>most-frequent category in MOVER nuisance models; unavailable in INSPIRE</x:v>
      </x:c>
    </x:row>
    <x:row r="15" ht="36" customHeight="1">
      <x:c r="A15" s="7" t="str">
        <x:v>MOVER 2021</x:v>
      </x:c>
      <x:c r="B15" s="7" t="str">
        <x:v>outcome_operational</x:v>
      </x:c>
      <x:c r="C15" s="10" t="n">
        <x:v>2802</x:v>
      </x:c>
      <x:c r="D15" s="10" t="n">
        <x:v>590</x:v>
      </x:c>
      <x:c r="E15" s="12" t="n">
        <x:v>21.06</x:v>
      </x:c>
      <x:c r="F15" s="7" t="str">
        <x:v>not imputed as observed truth; addressed with IPW/AIPW and MNAR scenarios</x:v>
      </x:c>
    </x:row>
    <x:row r="16" ht="30" customHeight="1">
      <x:c r="A16" s="3" t="str">
        <x:v>MOVER 2022</x:v>
      </x:c>
      <x:c r="B16" s="3" t="str">
        <x:v>age</x:v>
      </x:c>
      <x:c r="C16" s="9" t="n">
        <x:v>2587</x:v>
      </x:c>
      <x:c r="D16" s="9" t="n">
        <x:v>0</x:v>
      </x:c>
      <x:c r="E16" s="9" t="n">
        <x:v>0</x:v>
      </x:c>
      <x:c r="F16" s="3" t="str">
        <x:v>median imputation</x:v>
      </x:c>
    </x:row>
    <x:row r="17" ht="30" customHeight="1">
      <x:c r="A17" s="7" t="str">
        <x:v>MOVER 2022</x:v>
      </x:c>
      <x:c r="B17" s="7" t="str">
        <x:v>sex_male</x:v>
      </x:c>
      <x:c r="C17" s="10" t="n">
        <x:v>2587</x:v>
      </x:c>
      <x:c r="D17" s="10" t="n">
        <x:v>0</x:v>
      </x:c>
      <x:c r="E17" s="10" t="n">
        <x:v>0</x:v>
      </x:c>
      <x:c r="F17" s="7" t="str">
        <x:v>most-frequent imputation</x:v>
      </x:c>
    </x:row>
    <x:row r="18" ht="30" customHeight="1">
      <x:c r="A18" s="3" t="str">
        <x:v>MOVER 2022</x:v>
      </x:c>
      <x:c r="B18" s="3" t="str">
        <x:v>duration_h</x:v>
      </x:c>
      <x:c r="C18" s="9" t="n">
        <x:v>2587</x:v>
      </x:c>
      <x:c r="D18" s="9" t="n">
        <x:v>0</x:v>
      </x:c>
      <x:c r="E18" s="9" t="n">
        <x:v>0</x:v>
      </x:c>
      <x:c r="F18" s="3" t="str">
        <x:v>median imputation</x:v>
      </x:c>
    </x:row>
    <x:row r="19" ht="36" customHeight="1">
      <x:c r="A19" s="7" t="str">
        <x:v>MOVER 2022</x:v>
      </x:c>
      <x:c r="B19" s="7" t="str">
        <x:v>baseline_cr</x:v>
      </x:c>
      <x:c r="C19" s="10" t="n">
        <x:v>2587</x:v>
      </x:c>
      <x:c r="D19" s="10" t="n">
        <x:v>0</x:v>
      </x:c>
      <x:c r="E19" s="10" t="n">
        <x:v>0</x:v>
      </x:c>
      <x:c r="F19" s="7" t="str">
        <x:v>eligibility requires observed baseline creatinine</x:v>
      </x:c>
    </x:row>
    <x:row r="20" ht="36" customHeight="1">
      <x:c r="A20" s="3" t="str">
        <x:v>MOVER 2022</x:v>
      </x:c>
      <x:c r="B20" s="3" t="str">
        <x:v>asa</x:v>
      </x:c>
      <x:c r="C20" s="9" t="n">
        <x:v>2587</x:v>
      </x:c>
      <x:c r="D20" s="9" t="n">
        <x:v>0</x:v>
      </x:c>
      <x:c r="E20" s="9" t="n">
        <x:v>0</x:v>
      </x:c>
      <x:c r="F20" s="3" t="str">
        <x:v>most-frequent category in expanded nuisance models; not used by audit risk model</x:v>
      </x:c>
    </x:row>
    <x:row r="21" ht="36" customHeight="1">
      <x:c r="A21" s="7" t="str">
        <x:v>MOVER 2022</x:v>
      </x:c>
      <x:c r="B21" s="7" t="str">
        <x:v>surgery_category</x:v>
      </x:c>
      <x:c r="C21" s="10" t="n">
        <x:v>2587</x:v>
      </x:c>
      <x:c r="D21" s="10" t="n">
        <x:v>0</x:v>
      </x:c>
      <x:c r="E21" s="10" t="n">
        <x:v>0</x:v>
      </x:c>
      <x:c r="F21" s="7" t="str">
        <x:v>most-frequent category in MOVER nuisance models; unavailable in INSPIRE</x:v>
      </x:c>
    </x:row>
    <x:row r="22" ht="36" customHeight="1">
      <x:c r="A22" s="3" t="str">
        <x:v>MOVER 2022</x:v>
      </x:c>
      <x:c r="B22" s="3" t="str">
        <x:v>outcome_operational</x:v>
      </x:c>
      <x:c r="C22" s="9" t="n">
        <x:v>2587</x:v>
      </x:c>
      <x:c r="D22" s="9" t="n">
        <x:v>554</x:v>
      </x:c>
      <x:c r="E22" s="11" t="n">
        <x:v>21.41</x:v>
      </x:c>
      <x:c r="F22" s="3" t="str">
        <x:v>not imputed as observed truth; addressed with IPW/AIPW and MNAR scenarios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14" hidden="0" customWidth="1"/>
  </x:cols>
  <x:sheetData>
    <x:row r="1" ht="64" customHeight="1">
      <x:c r="A1" s="6" t="str">
        <x:v>Order</x:v>
      </x:c>
      <x:c r="B1" s="6" t="str">
        <x:v>Transformed feature</x:v>
      </x:c>
      <x:c r="C1" s="6" t="str">
        <x:v>Coefficient</x:v>
      </x:c>
    </x:row>
    <x:row r="2" ht="36" customHeight="1">
      <x:c r="A2" s="9" t="n">
        <x:v>1</x:v>
      </x:c>
      <x:c r="B2" s="3" t="str">
        <x:v>continuous__age_sp_0</x:v>
      </x:c>
      <x:c r="C2" s="13" t="n">
        <x:v>-0.7619909112</x:v>
      </x:c>
    </x:row>
    <x:row r="3" ht="36" customHeight="1">
      <x:c r="A3" s="10" t="n">
        <x:v>2</x:v>
      </x:c>
      <x:c r="B3" s="7" t="str">
        <x:v>continuous__age_sp_1</x:v>
      </x:c>
      <x:c r="C3" s="14" t="n">
        <x:v>-0.6918626372</x:v>
      </x:c>
    </x:row>
    <x:row r="4" ht="36" customHeight="1">
      <x:c r="A4" s="9" t="n">
        <x:v>3</x:v>
      </x:c>
      <x:c r="B4" s="3" t="str">
        <x:v>continuous__age_sp_2</x:v>
      </x:c>
      <x:c r="C4" s="13" t="n">
        <x:v>0.5733418124</x:v>
      </x:c>
    </x:row>
    <x:row r="5" ht="36" customHeight="1">
      <x:c r="A5" s="10" t="n">
        <x:v>4</x:v>
      </x:c>
      <x:c r="B5" s="7" t="str">
        <x:v>continuous__age_sp_3</x:v>
      </x:c>
      <x:c r="C5" s="14" t="n">
        <x:v>-0.2516768084</x:v>
      </x:c>
    </x:row>
    <x:row r="6" ht="36" customHeight="1">
      <x:c r="A6" s="9" t="n">
        <x:v>5</x:v>
      </x:c>
      <x:c r="B6" s="3" t="str">
        <x:v>continuous__age_sp_4</x:v>
      </x:c>
      <x:c r="C6" s="13" t="n">
        <x:v>0.2364366129</x:v>
      </x:c>
    </x:row>
    <x:row r="7" ht="36" customHeight="1">
      <x:c r="A7" s="10" t="n">
        <x:v>6</x:v>
      </x:c>
      <x:c r="B7" s="7" t="str">
        <x:v>continuous__duration_h_sp_0</x:v>
      </x:c>
      <x:c r="C7" s="14" t="n">
        <x:v>-3.3467171718</x:v>
      </x:c>
    </x:row>
    <x:row r="8" ht="36" customHeight="1">
      <x:c r="A8" s="9" t="n">
        <x:v>7</x:v>
      </x:c>
      <x:c r="B8" s="3" t="str">
        <x:v>continuous__duration_h_sp_1</x:v>
      </x:c>
      <x:c r="C8" s="13" t="n">
        <x:v>0.3164520577</x:v>
      </x:c>
    </x:row>
    <x:row r="9" ht="36" customHeight="1">
      <x:c r="A9" s="10" t="n">
        <x:v>8</x:v>
      </x:c>
      <x:c r="B9" s="7" t="str">
        <x:v>continuous__duration_h_sp_2</x:v>
      </x:c>
      <x:c r="C9" s="14" t="n">
        <x:v>2.0595869887</x:v>
      </x:c>
    </x:row>
    <x:row r="10" ht="36" customHeight="1">
      <x:c r="A10" s="9" t="n">
        <x:v>9</x:v>
      </x:c>
      <x:c r="B10" s="3" t="str">
        <x:v>continuous__duration_h_sp_3</x:v>
      </x:c>
      <x:c r="C10" s="13" t="n">
        <x:v>0.6503466397</x:v>
      </x:c>
    </x:row>
    <x:row r="11" ht="36" customHeight="1">
      <x:c r="A11" s="10" t="n">
        <x:v>10</x:v>
      </x:c>
      <x:c r="B11" s="7" t="str">
        <x:v>continuous__duration_h_sp_4</x:v>
      </x:c>
      <x:c r="C11" s="14" t="n">
        <x:v>-0.2922426333</x:v>
      </x:c>
    </x:row>
    <x:row r="12" ht="36" customHeight="1">
      <x:c r="A12" s="9" t="n">
        <x:v>11</x:v>
      </x:c>
      <x:c r="B12" s="3" t="str">
        <x:v>continuous__baseline_cr_sp_0</x:v>
      </x:c>
      <x:c r="C12" s="13" t="n">
        <x:v>5.094809121</x:v>
      </x:c>
    </x:row>
    <x:row r="13" ht="36" customHeight="1">
      <x:c r="A13" s="10" t="n">
        <x:v>12</x:v>
      </x:c>
      <x:c r="B13" s="7" t="str">
        <x:v>continuous__baseline_cr_sp_1</x:v>
      </x:c>
      <x:c r="C13" s="14" t="n">
        <x:v>-3.4065290415</x:v>
      </x:c>
    </x:row>
    <x:row r="14" ht="36" customHeight="1">
      <x:c r="A14" s="9" t="n">
        <x:v>13</x:v>
      </x:c>
      <x:c r="B14" s="3" t="str">
        <x:v>continuous__baseline_cr_sp_2</x:v>
      </x:c>
      <x:c r="C14" s="13" t="n">
        <x:v>-1.9726299763</x:v>
      </x:c>
    </x:row>
    <x:row r="15" ht="36" customHeight="1">
      <x:c r="A15" s="10" t="n">
        <x:v>14</x:v>
      </x:c>
      <x:c r="B15" s="7" t="str">
        <x:v>continuous__baseline_cr_sp_3</x:v>
      </x:c>
      <x:c r="C15" s="14" t="n">
        <x:v>1.258957328</x:v>
      </x:c>
    </x:row>
    <x:row r="16" ht="36" customHeight="1">
      <x:c r="A16" s="9" t="n">
        <x:v>15</x:v>
      </x:c>
      <x:c r="B16" s="3" t="str">
        <x:v>continuous__baseline_cr_sp_4</x:v>
      </x:c>
      <x:c r="C16" s="13" t="n">
        <x:v>-1.3576928576</x:v>
      </x:c>
    </x:row>
    <x:row r="17" ht="36" customHeight="1">
      <x:c r="A17" s="10" t="n">
        <x:v>16</x:v>
      </x:c>
      <x:c r="B17" s="7" t="str">
        <x:v>binary__sex_male</x:v>
      </x:c>
      <x:c r="C17" s="14" t="n">
        <x:v>0.4209282023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48" hidden="0" customWidth="1"/>
  </x:cols>
  <x:sheetData>
    <x:row r="1" ht="64" customHeight="1">
      <x:c r="A1" s="6" t="str">
        <x:v>Feature</x:v>
      </x:c>
      <x:c r="B1" s="6" t="str">
        <x:v>Imputation</x:v>
      </x:c>
      <x:c r="C1" s="6" t="str">
        <x:v>Mean</x:v>
      </x:c>
      <x:c r="D1" s="6" t="str">
        <x:v>Scale</x:v>
      </x:c>
      <x:c r="E1" s="6" t="str">
        <x:v>Standardized knot vector</x:v>
      </x:c>
    </x:row>
    <x:row r="2" ht="50" customHeight="1">
      <x:c r="A2" s="3" t="str">
        <x:v>age</x:v>
      </x:c>
      <x:c r="B2" s="9" t="n">
        <x:v>60</x:v>
      </x:c>
      <x:c r="C2" s="11" t="n">
        <x:v>55.97697191</x:v>
      </x:c>
      <x:c r="D2" s="11" t="n">
        <x:v>15.83551859</x:v>
      </x:c>
      <x:c r="E2" s="3" t="str">
        <x:v>-6.6923588, -5.2188779, -3.7453971, -2.2719162, -0.7984354, 0.67504545, 2.1485263, 3.6220071, 5.095488, 6.5689688</x:v>
      </x:c>
    </x:row>
    <x:row r="3" ht="50" customHeight="1">
      <x:c r="A3" s="7" t="str">
        <x:v>duration_h</x:v>
      </x:c>
      <x:c r="B3" s="12" t="n">
        <x:v>2.5</x:v>
      </x:c>
      <x:c r="C3" s="12" t="n">
        <x:v>3.01149408</x:v>
      </x:c>
      <x:c r="D3" s="12" t="n">
        <x:v>1.94399943</x:v>
      </x:c>
      <x:c r="E3" s="7" t="str">
        <x:v>-12.480196, -8.7507711, -5.0213462, -1.2919212, 2.4375038, 6.1669287, 9.8963537, 13.625779, 17.355204, 21.084629</x:v>
      </x:c>
    </x:row>
    <x:row r="4" ht="50" customHeight="1">
      <x:c r="A4" s="3" t="str">
        <x:v>baseline_cr</x:v>
      </x:c>
      <x:c r="B4" s="11" t="n">
        <x:v>0.8</x:v>
      </x:c>
      <x:c r="C4" s="11" t="n">
        <x:v>0.84863688</x:v>
      </x:c>
      <x:c r="D4" s="11" t="n">
        <x:v>0.34963336</x:v>
      </x:c>
      <x:c r="E4" s="3" t="str">
        <x:v>-8.7481266, -6.2502719, -3.7524172, -1.2545624, 1.2432923, 3.741147, 6.2390017, 8.7368564, 11.234711, 13.732566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13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64" customHeight="1">
      <x:c r="A1" s="6" t="str">
        <x:v>Stage</x:v>
      </x:c>
      <x:c r="B1" s="6" t="str">
        <x:v>Reference</x:v>
      </x:c>
      <x:c r="C1" s="6" t="str">
        <x:v>k</x:v>
      </x:c>
      <x:c r="D1" s="6" t="str">
        <x:v>Source events</x:v>
      </x:c>
      <x:c r="E1" s="6" t="str">
        <x:v>Update events</x:v>
      </x:c>
      <x:c r="F1" s="6" t="str">
        <x:v>Alpha</x:v>
      </x:c>
      <x:c r="G1" s="6" t="str">
        <x:v>Beta</x:v>
      </x:c>
      <x:c r="H1" s="6" t="str">
        <x:v>Target O/E</x:v>
      </x:c>
      <x:c r="I1" s="6" t="str">
        <x:v>Slope</x:v>
      </x:c>
      <x:c r="J1" s="6" t="str">
        <x:v>AUROC</x:v>
      </x:c>
      <x:c r="K1" s="6" t="str">
        <x:v>10% alerts</x:v>
      </x:c>
    </x:row>
    <x:row r="2" ht="30" customHeight="1">
      <x:c r="A2" s="3" t="str">
        <x:v>source</x:v>
      </x:c>
      <x:c r="B2" s="3" t="str">
        <x:v>Canonical MAR reference</x:v>
      </x:c>
      <x:c r="C2" s="3" t="str">
        <x:v>NA</x:v>
      </x:c>
      <x:c r="D2" s="11" t="n">
        <x:v>1973.6</x:v>
      </x:c>
      <x:c r="E2" s="9" t="n">
        <x:v>318</x:v>
      </x:c>
      <x:c r="F2" s="11" t="n">
        <x:v>0.207</x:v>
      </x:c>
      <x:c r="G2" s="11" t="n">
        <x:v>0.891</x:v>
      </x:c>
      <x:c r="H2" s="11" t="n">
        <x:v>1.012</x:v>
      </x:c>
      <x:c r="I2" s="11" t="n">
        <x:v>0.884</x:v>
      </x:c>
      <x:c r="J2" s="11" t="n">
        <x:v>0.674</x:v>
      </x:c>
      <x:c r="K2" s="9" t="n">
        <x:v>980</x:v>
      </x:c>
    </x:row>
    <x:row r="3" ht="36" customHeight="1">
      <x:c r="A3" s="7" t="str">
        <x:v>source</x:v>
      </x:c>
      <x:c r="B3" s="7" t="str">
        <x:v>OR-completion reference, k=1</x:v>
      </x:c>
      <x:c r="C3" s="10" t="n">
        <x:v>1</x:v>
      </x:c>
      <x:c r="D3" s="12" t="n">
        <x:v>2039.8</x:v>
      </x:c>
      <x:c r="E3" s="10" t="n">
        <x:v>318</x:v>
      </x:c>
      <x:c r="F3" s="12" t="n">
        <x:v>0.286</x:v>
      </x:c>
      <x:c r="G3" s="12" t="n">
        <x:v>0.937</x:v>
      </x:c>
      <x:c r="H3" s="12" t="n">
        <x:v>1.011</x:v>
      </x:c>
      <x:c r="I3" s="12" t="n">
        <x:v>0.881</x:v>
      </x:c>
      <x:c r="J3" s="12" t="n">
        <x:v>0.671</x:v>
      </x:c>
      <x:c r="K3" s="10" t="n">
        <x:v>957</x:v>
      </x:c>
    </x:row>
    <x:row r="4" ht="30" customHeight="1">
      <x:c r="A4" s="3" t="str">
        <x:v>update</x:v>
      </x:c>
      <x:c r="B4" s="3" t="str">
        <x:v>Canonical MAR reference</x:v>
      </x:c>
      <x:c r="C4" s="3" t="str">
        <x:v>NA</x:v>
      </x:c>
      <x:c r="D4" s="11" t="n">
        <x:v>1973.6</x:v>
      </x:c>
      <x:c r="E4" s="9" t="n">
        <x:v>318</x:v>
      </x:c>
      <x:c r="F4" s="11" t="n">
        <x:v>0.207</x:v>
      </x:c>
      <x:c r="G4" s="11" t="n">
        <x:v>0.891</x:v>
      </x:c>
      <x:c r="H4" s="11" t="n">
        <x:v>1.012</x:v>
      </x:c>
      <x:c r="I4" s="11" t="n">
        <x:v>0.884</x:v>
      </x:c>
      <x:c r="J4" s="11" t="n">
        <x:v>0.674</x:v>
      </x:c>
      <x:c r="K4" s="9" t="n">
        <x:v>980</x:v>
      </x:c>
    </x:row>
    <x:row r="5" ht="36" customHeight="1">
      <x:c r="A5" s="7" t="str">
        <x:v>update</x:v>
      </x:c>
      <x:c r="B5" s="7" t="str">
        <x:v>OR-completion reference, k=1</x:v>
      </x:c>
      <x:c r="C5" s="10" t="n">
        <x:v>1</x:v>
      </x:c>
      <x:c r="D5" s="12" t="n">
        <x:v>1973.6</x:v>
      </x:c>
      <x:c r="E5" s="12" t="n">
        <x:v>319.5</x:v>
      </x:c>
      <x:c r="F5" s="12" t="n">
        <x:v>0.134</x:v>
      </x:c>
      <x:c r="G5" s="12" t="n">
        <x:v>0.851</x:v>
      </x:c>
      <x:c r="H5" s="12" t="n">
        <x:v>0.993</x:v>
      </x:c>
      <x:c r="I5" s="12" t="n">
        <x:v>0.926</x:v>
      </x:c>
      <x:c r="J5" s="12" t="n">
        <x:v>0.674</x:v>
      </x:c>
      <x:c r="K5" s="10" t="n">
        <x:v>1049</x:v>
      </x:c>
    </x:row>
    <x:row r="6" ht="30" customHeight="1">
      <x:c r="A6" s="3" t="str">
        <x:v>target</x:v>
      </x:c>
      <x:c r="B6" s="3" t="str">
        <x:v>Canonical MAR reference</x:v>
      </x:c>
      <x:c r="C6" s="3" t="str">
        <x:v>NA</x:v>
      </x:c>
      <x:c r="D6" s="11" t="n">
        <x:v>1973.6</x:v>
      </x:c>
      <x:c r="E6" s="9" t="n">
        <x:v>318</x:v>
      </x:c>
      <x:c r="F6" s="11" t="n">
        <x:v>0.207</x:v>
      </x:c>
      <x:c r="G6" s="11" t="n">
        <x:v>0.891</x:v>
      </x:c>
      <x:c r="H6" s="11" t="n">
        <x:v>1.012</x:v>
      </x:c>
      <x:c r="I6" s="11" t="n">
        <x:v>0.884</x:v>
      </x:c>
      <x:c r="J6" s="11" t="n">
        <x:v>0.674</x:v>
      </x:c>
      <x:c r="K6" s="9" t="n">
        <x:v>980</x:v>
      </x:c>
    </x:row>
    <x:row r="7" ht="36" customHeight="1">
      <x:c r="A7" s="7" t="str">
        <x:v>target</x:v>
      </x:c>
      <x:c r="B7" s="7" t="str">
        <x:v>OR-completion reference, k=1</x:v>
      </x:c>
      <x:c r="C7" s="10" t="n">
        <x:v>1</x:v>
      </x:c>
      <x:c r="D7" s="12" t="n">
        <x:v>1973.6</x:v>
      </x:c>
      <x:c r="E7" s="10" t="n">
        <x:v>318</x:v>
      </x:c>
      <x:c r="F7" s="12" t="n">
        <x:v>0.207</x:v>
      </x:c>
      <x:c r="G7" s="12" t="n">
        <x:v>0.891</x:v>
      </x:c>
      <x:c r="H7" s="12" t="n">
        <x:v>1.027</x:v>
      </x:c>
      <x:c r="I7" s="12" t="n">
        <x:v>0.872</x:v>
      </x:c>
      <x:c r="J7" s="12" t="n">
        <x:v>0.668</x:v>
      </x:c>
      <x:c r="K7" s="10" t="n">
        <x:v>980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9" hidden="0" customWidth="1"/>
  </x:cols>
  <x:sheetData>
    <x:row r="1" ht="64" customHeight="1">
      <x:c r="A1" s="6" t="str">
        <x:v>Strategy</x:v>
      </x:c>
      <x:c r="B1" s="6" t="str">
        <x:v>Primary</x:v>
      </x:c>
      <x:c r="C1" s="6" t="str">
        <x:v>Alpha</x:v>
      </x:c>
      <x:c r="D1" s="6" t="str">
        <x:v>Beta</x:v>
      </x:c>
      <x:c r="E1" s="6" t="str">
        <x:v>O/E</x:v>
      </x:c>
      <x:c r="F1" s="6" t="str">
        <x:v>Slope</x:v>
      </x:c>
      <x:c r="G1" s="6" t="str">
        <x:v>AUROC</x:v>
      </x:c>
      <x:c r="H1" s="6" t="str">
        <x:v>AUPRC</x:v>
      </x:c>
      <x:c r="I1" s="6" t="str">
        <x:v>Brier</x:v>
      </x:c>
      <x:c r="J1" s="6" t="str">
        <x:v>10-q grouped error</x:v>
      </x:c>
    </x:row>
    <x:row r="2" ht="36" customHeight="1">
      <x:c r="A2" s="3" t="str">
        <x:v>observed-outcome source model + unupdated source-only comparator</x:v>
      </x:c>
      <x:c r="B2" s="3" t="str">
        <x:v>No</x:v>
      </x:c>
      <x:c r="C2" s="9" t="n">
        <x:v>0</x:v>
      </x:c>
      <x:c r="D2" s="9" t="n">
        <x:v>1</x:v>
      </x:c>
      <x:c r="E2" s="11" t="n">
        <x:v>1.443</x:v>
      </x:c>
      <x:c r="F2" s="11" t="n">
        <x:v>0.828</x:v>
      </x:c>
      <x:c r="G2" s="11" t="n">
        <x:v>0.672</x:v>
      </x:c>
      <x:c r="H2" s="11" t="n">
        <x:v>0.241</x:v>
      </x:c>
      <x:c r="I2" s="11" t="n">
        <x:v>0.095</x:v>
      </x:c>
      <x:c r="J2" s="11" t="n">
        <x:v>0.034</x:v>
      </x:c>
    </x:row>
    <x:row r="3" ht="36" customHeight="1">
      <x:c r="A3" s="7" t="str">
        <x:v>observed-outcome source model + complete-case recalibration</x:v>
      </x:c>
      <x:c r="B3" s="7" t="str">
        <x:v>No</x:v>
      </x:c>
      <x:c r="C3" s="12" t="n">
        <x:v>0.254</x:v>
      </x:c>
      <x:c r="D3" s="12" t="n">
        <x:v>0.902</x:v>
      </x:c>
      <x:c r="E3" s="12" t="n">
        <x:v>0.964</x:v>
      </x:c>
      <x:c r="F3" s="12" t="n">
        <x:v>0.918</x:v>
      </x:c>
      <x:c r="G3" s="12" t="n">
        <x:v>0.672</x:v>
      </x:c>
      <x:c r="H3" s="12" t="n">
        <x:v>0.241</x:v>
      </x:c>
      <x:c r="I3" s="12" t="n">
        <x:v>0.094</x:v>
      </x:c>
      <x:c r="J3" s="12" t="n">
        <x:v>0.012</x:v>
      </x:c>
    </x:row>
    <x:row r="4" ht="36" customHeight="1">
      <x:c r="A4" s="3" t="str">
        <x:v>observed-outcome source model + 1/99 truncated-IPW recalibration</x:v>
      </x:c>
      <x:c r="B4" s="3" t="str">
        <x:v>No</x:v>
      </x:c>
      <x:c r="C4" s="11" t="n">
        <x:v>0.299</x:v>
      </x:c>
      <x:c r="D4" s="11" t="n">
        <x:v>0.945</x:v>
      </x:c>
      <x:c r="E4" s="11" t="n">
        <x:v>1.011</x:v>
      </x:c>
      <x:c r="F4" s="11" t="n">
        <x:v>0.876</x:v>
      </x:c>
      <x:c r="G4" s="11" t="n">
        <x:v>0.672</x:v>
      </x:c>
      <x:c r="H4" s="11" t="n">
        <x:v>0.241</x:v>
      </x:c>
      <x:c r="I4" s="11" t="n">
        <x:v>0.094</x:v>
      </x:c>
      <x:c r="J4" s="11" t="n">
        <x:v>0.011</x:v>
      </x:c>
    </x:row>
    <x:row r="5" ht="36" customHeight="1">
      <x:c r="A5" s="7" t="str">
        <x:v>1/99 truncated-IPW source model + unupdated source-only comparator</x:v>
      </x:c>
      <x:c r="B5" s="7" t="str">
        <x:v>Yes</x:v>
      </x:c>
      <x:c r="C5" s="10" t="n">
        <x:v>0</x:v>
      </x:c>
      <x:c r="D5" s="10" t="n">
        <x:v>1</x:v>
      </x:c>
      <x:c r="E5" s="12" t="n">
        <x:v>1.487</x:v>
      </x:c>
      <x:c r="F5" s="12" t="n">
        <x:v>0.788</x:v>
      </x:c>
      <x:c r="G5" s="12" t="n">
        <x:v>0.674</x:v>
      </x:c>
      <x:c r="H5" s="12" t="n">
        <x:v>0.241</x:v>
      </x:c>
      <x:c r="I5" s="12" t="n">
        <x:v>0.095</x:v>
      </x:c>
      <x:c r="J5" s="12" t="n">
        <x:v>0.036</x:v>
      </x:c>
    </x:row>
    <x:row r="6" ht="36" customHeight="1">
      <x:c r="A6" s="3" t="str">
        <x:v>1/99 truncated-IPW source model + complete-case recalibration</x:v>
      </x:c>
      <x:c r="B6" s="3" t="str">
        <x:v>No</x:v>
      </x:c>
      <x:c r="C6" s="11" t="n">
        <x:v>0.153</x:v>
      </x:c>
      <x:c r="D6" s="11" t="n">
        <x:v>0.846</x:v>
      </x:c>
      <x:c r="E6" s="11" t="n">
        <x:v>0.967</x:v>
      </x:c>
      <x:c r="F6" s="11" t="n">
        <x:v>0.932</x:v>
      </x:c>
      <x:c r="G6" s="11" t="n">
        <x:v>0.674</x:v>
      </x:c>
      <x:c r="H6" s="11" t="n">
        <x:v>0.241</x:v>
      </x:c>
      <x:c r="I6" s="11" t="n">
        <x:v>0.094</x:v>
      </x:c>
      <x:c r="J6" s="11" t="n">
        <x:v>0.016</x:v>
      </x:c>
    </x:row>
    <x:row r="7" ht="36" customHeight="1">
      <x:c r="A7" s="7" t="str">
        <x:v>1/99 truncated-IPW source model + 1/99 truncated-IPW recalibration</x:v>
      </x:c>
      <x:c r="B7" s="7" t="str">
        <x:v>Yes</x:v>
      </x:c>
      <x:c r="C7" s="12" t="n">
        <x:v>0.207</x:v>
      </x:c>
      <x:c r="D7" s="12" t="n">
        <x:v>0.891</x:v>
      </x:c>
      <x:c r="E7" s="12" t="n">
        <x:v>1.012</x:v>
      </x:c>
      <x:c r="F7" s="12" t="n">
        <x:v>0.884</x:v>
      </x:c>
      <x:c r="G7" s="12" t="n">
        <x:v>0.674</x:v>
      </x:c>
      <x:c r="H7" s="12" t="n">
        <x:v>0.241</x:v>
      </x:c>
      <x:c r="I7" s="12" t="n">
        <x:v>0.094</x:v>
      </x:c>
      <x:c r="J7" s="12" t="n">
        <x:v>0.016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42" hidden="0" customWidth="1"/>
    <x:col min="3" max="3" width="13" hidden="0" customWidth="1"/>
    <x:col min="4" max="4" width="13" hidden="0" customWidth="1"/>
    <x:col min="5" max="5" width="13" hidden="0" customWidth="1"/>
    <x:col min="6" max="6" width="48" hidden="0" customWidth="1"/>
    <x:col min="7" max="7" width="13" hidden="0" customWidth="1"/>
  </x:cols>
  <x:sheetData>
    <x:row r="1" ht="64" customHeight="1">
      <x:c r="A1" s="6" t="str">
        <x:v>Estimand</x:v>
      </x:c>
      <x:c r="B1" s="6" t="str">
        <x:v>Metric</x:v>
      </x:c>
      <x:c r="C1" s="6" t="str">
        <x:v>Estimate</x:v>
      </x:c>
      <x:c r="D1" s="6" t="str">
        <x:v>Lower</x:v>
      </x:c>
      <x:c r="E1" s="6" t="str">
        <x:v>Upper</x:v>
      </x:c>
      <x:c r="F1" s="6" t="str">
        <x:v>Estimator</x:v>
      </x:c>
      <x:c r="G1" s="6" t="str">
        <x:v>Replicates</x:v>
      </x:c>
    </x:row>
    <x:row r="2" ht="50" customHeight="1">
      <x:c r="A2" s="3" t="str">
        <x:v>hybrid AIPW/IPW performance among all baseline-eligible MOVER 2022 patients under MAR conditional on measured pre-prediction variables</x:v>
      </x:c>
      <x:c r="B2" s="3" t="str">
        <x:v>events</x:v>
      </x:c>
      <x:c r="C2" s="15" t="n">
        <x:v>288.773332</x:v>
      </x:c>
      <x:c r="D2" s="15" t="n">
        <x:v>256.74314</x:v>
      </x:c>
      <x:c r="E2" s="15" t="n">
        <x:v>321.062502</x:v>
      </x:c>
      <x:c r="F2" s="3" t="str">
        <x:v>AIPW</x:v>
      </x:c>
      <x:c r="G2" s="9" t="n">
        <x:v>1000</x:v>
      </x:c>
    </x:row>
    <x:row r="3" ht="50" customHeight="1">
      <x:c r="A3" s="7" t="str">
        <x:v>hybrid AIPW/IPW performance among all baseline-eligible MOVER 2022 patients under MAR conditional on measured pre-prediction variables</x:v>
      </x:c>
      <x:c r="B3" s="7" t="str">
        <x:v>event_rate</x:v>
      </x:c>
      <x:c r="C3" s="16" t="n">
        <x:v>0.111625</x:v>
      </x:c>
      <x:c r="D3" s="16" t="n">
        <x:v>0.099244</x:v>
      </x:c>
      <x:c r="E3" s="16" t="n">
        <x:v>0.124106</x:v>
      </x:c>
      <x:c r="F3" s="7" t="str">
        <x:v>AIPW</x:v>
      </x:c>
      <x:c r="G3" s="10" t="n">
        <x:v>1000</x:v>
      </x:c>
    </x:row>
    <x:row r="4" ht="50" customHeight="1">
      <x:c r="A4" s="3" t="str">
        <x:v>hybrid AIPW/IPW performance among all baseline-eligible MOVER 2022 patients under MAR conditional on measured pre-prediction variables</x:v>
      </x:c>
      <x:c r="B4" s="3" t="str">
        <x:v>predicted_mean</x:v>
      </x:c>
      <x:c r="C4" s="15" t="n">
        <x:v>0.11032</x:v>
      </x:c>
      <x:c r="D4" s="15" t="n">
        <x:v>0.098705</x:v>
      </x:c>
      <x:c r="E4" s="15" t="n">
        <x:v>0.1224</x:v>
      </x:c>
      <x:c r="F4" s="3" t="str">
        <x:v>exact all-eligible predictions</x:v>
      </x:c>
      <x:c r="G4" s="9" t="n">
        <x:v>1000</x:v>
      </x:c>
    </x:row>
    <x:row r="5" ht="50" customHeight="1">
      <x:c r="A5" s="7" t="str">
        <x:v>hybrid AIPW/IPW performance among all baseline-eligible MOVER 2022 patients under MAR conditional on measured pre-prediction variables</x:v>
      </x:c>
      <x:c r="B5" s="7" t="str">
        <x:v>oe_ratio</x:v>
      </x:c>
      <x:c r="C5" s="16" t="n">
        <x:v>1.011826</x:v>
      </x:c>
      <x:c r="D5" s="16" t="n">
        <x:v>0.866487</x:v>
      </x:c>
      <x:c r="E5" s="16" t="n">
        <x:v>1.1768</x:v>
      </x:c>
      <x:c r="F5" s="7" t="str">
        <x:v>plug-in ratio of AIPW-estimated event total to exact predicted-event total</x:v>
      </x:c>
      <x:c r="G5" s="10" t="n">
        <x:v>1000</x:v>
      </x:c>
    </x:row>
    <x:row r="6" ht="50" customHeight="1">
      <x:c r="A6" s="3" t="str">
        <x:v>hybrid AIPW/IPW performance among all baseline-eligible MOVER 2022 patients under MAR conditional on measured pre-prediction variables</x:v>
      </x:c>
      <x:c r="B6" s="3" t="str">
        <x:v>calibration_intercept</x:v>
      </x:c>
      <x:c r="C6" s="15" t="n">
        <x:v>0.005026</x:v>
      </x:c>
      <x:c r="D6" s="15" t="n">
        <x:v>-0.189025</x:v>
      </x:c>
      <x:c r="E6" s="15" t="n">
        <x:v>0.187552</x:v>
      </x:c>
      <x:c r="F6" s="3" t="str">
        <x:v>1/99 truncated expanded IPW</x:v>
      </x:c>
      <x:c r="G6" s="9" t="n">
        <x:v>1000</x:v>
      </x:c>
    </x:row>
    <x:row r="7" ht="50" customHeight="1">
      <x:c r="A7" s="7" t="str">
        <x:v>hybrid AIPW/IPW performance among all baseline-eligible MOVER 2022 patients under MAR conditional on measured pre-prediction variables</x:v>
      </x:c>
      <x:c r="B7" s="7" t="str">
        <x:v>calibration_joint_intercept</x:v>
      </x:c>
      <x:c r="C7" s="16" t="n">
        <x:v>-0.217652</x:v>
      </x:c>
      <x:c r="D7" s="16" t="n">
        <x:v>-0.622999</x:v>
      </x:c>
      <x:c r="E7" s="16" t="n">
        <x:v>0.296372</x:v>
      </x:c>
      <x:c r="F7" s="7" t="str">
        <x:v>1/99 truncated expanded IPW</x:v>
      </x:c>
      <x:c r="G7" s="10" t="n">
        <x:v>1000</x:v>
      </x:c>
    </x:row>
    <x:row r="8" ht="50" customHeight="1">
      <x:c r="A8" s="3" t="str">
        <x:v>hybrid AIPW/IPW performance among all baseline-eligible MOVER 2022 patients under MAR conditional on measured pre-prediction variables</x:v>
      </x:c>
      <x:c r="B8" s="3" t="str">
        <x:v>calibration_slope</x:v>
      </x:c>
      <x:c r="C8" s="15" t="n">
        <x:v>0.884451</x:v>
      </x:c>
      <x:c r="D8" s="15" t="n">
        <x:v>0.681047</x:v>
      </x:c>
      <x:c r="E8" s="15" t="n">
        <x:v>1.154705</x:v>
      </x:c>
      <x:c r="F8" s="3" t="str">
        <x:v>1/99 truncated expanded IPW</x:v>
      </x:c>
      <x:c r="G8" s="9" t="n">
        <x:v>1000</x:v>
      </x:c>
    </x:row>
    <x:row r="9" ht="50" customHeight="1">
      <x:c r="A9" s="7" t="str">
        <x:v>hybrid AIPW/IPW performance among all baseline-eligible MOVER 2022 patients under MAR conditional on measured pre-prediction variables</x:v>
      </x:c>
      <x:c r="B9" s="7" t="str">
        <x:v>auroc</x:v>
      </x:c>
      <x:c r="C9" s="16" t="n">
        <x:v>0.673718</x:v>
      </x:c>
      <x:c r="D9" s="16" t="n">
        <x:v>0.632598</x:v>
      </x:c>
      <x:c r="E9" s="16" t="n">
        <x:v>0.716831</x:v>
      </x:c>
      <x:c r="F9" s="7" t="str">
        <x:v>1/99 truncated expanded IPW</x:v>
      </x:c>
      <x:c r="G9" s="10" t="n">
        <x:v>1000</x:v>
      </x:c>
    </x:row>
    <x:row r="10" ht="50" customHeight="1">
      <x:c r="A10" s="3" t="str">
        <x:v>hybrid AIPW/IPW performance among all baseline-eligible MOVER 2022 patients under MAR conditional on measured pre-prediction variables</x:v>
      </x:c>
      <x:c r="B10" s="3" t="str">
        <x:v>auprc</x:v>
      </x:c>
      <x:c r="C10" s="15" t="n">
        <x:v>0.240846</x:v>
      </x:c>
      <x:c r="D10" s="15" t="n">
        <x:v>0.201071</x:v>
      </x:c>
      <x:c r="E10" s="15" t="n">
        <x:v>0.29295</x:v>
      </x:c>
      <x:c r="F10" s="3" t="str">
        <x:v>1/99 truncated expanded IPW</x:v>
      </x:c>
      <x:c r="G10" s="9" t="n">
        <x:v>1000</x:v>
      </x:c>
    </x:row>
    <x:row r="11" ht="50" customHeight="1">
      <x:c r="A11" s="7" t="str">
        <x:v>hybrid AIPW/IPW performance among all baseline-eligible MOVER 2022 patients under MAR conditional on measured pre-prediction variables</x:v>
      </x:c>
      <x:c r="B11" s="7" t="str">
        <x:v>brier</x:v>
      </x:c>
      <x:c r="C11" s="16" t="n">
        <x:v>0.093684</x:v>
      </x:c>
      <x:c r="D11" s="16" t="n">
        <x:v>0.084478</x:v>
      </x:c>
      <x:c r="E11" s="16" t="n">
        <x:v>0.103401</x:v>
      </x:c>
      <x:c r="F11" s="7" t="str">
        <x:v>AIPW</x:v>
      </x:c>
      <x:c r="G11" s="10" t="n">
        <x:v>1000</x:v>
      </x:c>
    </x:row>
    <x:row r="12" ht="50" customHeight="1">
      <x:c r="A12" s="3" t="str">
        <x:v>hybrid AIPW/IPW performance among all baseline-eligible MOVER 2022 patients under MAR conditional on measured pre-prediction variables</x:v>
      </x:c>
      <x:c r="B12" s="3" t="str">
        <x:v>brier_skill_score</x:v>
      </x:c>
      <x:c r="C12" s="15" t="n">
        <x:v>0.055264</x:v>
      </x:c>
      <x:c r="D12" s="15" t="n">
        <x:v>0.023652</x:v>
      </x:c>
      <x:c r="E12" s="15" t="n">
        <x:v>0.086394</x:v>
      </x:c>
      <x:c r="F12" s="3" t="str">
        <x:v>AIPW</x:v>
      </x:c>
      <x:c r="G12" s="9" t="n">
        <x:v>1000</x:v>
      </x:c>
    </x:row>
    <x:row r="13" ht="50" customHeight="1">
      <x:c r="A13" s="7" t="str">
        <x:v>hybrid AIPW/IPW performance among all baseline-eligible MOVER 2022 patients under MAR conditional on measured pre-prediction variables</x:v>
      </x:c>
      <x:c r="B13" s="7" t="str">
        <x:v>grouped_absolute_calibration_error_10q</x:v>
      </x:c>
      <x:c r="C13" s="16" t="n">
        <x:v>0.0163</x:v>
      </x:c>
      <x:c r="D13" s="16" t="n">
        <x:v>0.012748</x:v>
      </x:c>
      <x:c r="E13" s="16" t="n">
        <x:v>0.034087</x:v>
      </x:c>
      <x:c r="F13" s="7" t="str">
        <x:v>1/99 truncated expanded IPW</x:v>
      </x:c>
      <x:c r="G13" s="10" t="n">
        <x:v>1000</x:v>
      </x:c>
    </x:row>
    <x:row r="14" ht="64" customHeight="1">
      <x:c r="A14" s="3" t="str">
        <x:v>1/99 truncated-weight approximation to logistic recalibration parameters among all baseline-eligible MOVER 2021 patients under MAR conditional on measured pre-prediction variables</x:v>
      </x:c>
      <x:c r="B14" s="3" t="str">
        <x:v>update_alpha</x:v>
      </x:c>
      <x:c r="C14" s="15" t="n">
        <x:v>0.206568</x:v>
      </x:c>
      <x:c r="D14" s="15" t="n">
        <x:v>-0.239357</x:v>
      </x:c>
      <x:c r="E14" s="15" t="n">
        <x:v>0.644484</x:v>
      </x:c>
      <x:c r="F14" s="3" t="str">
        <x:v>1/99 truncated expanded-IPW update score equation</x:v>
      </x:c>
      <x:c r="G14" s="9" t="n">
        <x:v>1000</x:v>
      </x:c>
    </x:row>
    <x:row r="15" ht="64" customHeight="1">
      <x:c r="A15" s="7" t="str">
        <x:v>1/99 truncated-weight approximation to logistic recalibration parameters among all baseline-eligible MOVER 2021 patients under MAR conditional on measured pre-prediction variables</x:v>
      </x:c>
      <x:c r="B15" s="7" t="str">
        <x:v>update_beta</x:v>
      </x:c>
      <x:c r="C15" s="16" t="n">
        <x:v>0.890956</x:v>
      </x:c>
      <x:c r="D15" s="16" t="n">
        <x:v>0.715289</x:v>
      </x:c>
      <x:c r="E15" s="16" t="n">
        <x:v>1.073552</x:v>
      </x:c>
      <x:c r="F15" s="7" t="str">
        <x:v>1/99 truncated expanded-IPW update score equation</x:v>
      </x:c>
      <x:c r="G15" s="10" t="n">
        <x:v>1000</x:v>
      </x:c>
    </x:row>
    <x:row r="16" ht="36" customHeight="1">
      <x:c r="A16" s="3" t="str">
        <x:v>threshold workload among all eligible MOVER 2022 patients at 5%</x:v>
      </x:c>
      <x:c r="B16" s="3" t="str">
        <x:v>alerts</x:v>
      </x:c>
      <x:c r="C16" s="9" t="n">
        <x:v>2309</x:v>
      </x:c>
      <x:c r="D16" s="9" t="n">
        <x:v>1954</x:v>
      </x:c>
      <x:c r="E16" s="9" t="n">
        <x:v>2513</x:v>
      </x:c>
      <x:c r="F16" s="3" t="str">
        <x:v>exact all-eligible predictions</x:v>
      </x:c>
      <x:c r="G16" s="9" t="n">
        <x:v>1000</x:v>
      </x:c>
    </x:row>
    <x:row r="17" ht="36" customHeight="1">
      <x:c r="A17" s="7" t="str">
        <x:v>threshold workload among all eligible MOVER 2022 patients at 5%</x:v>
      </x:c>
      <x:c r="B17" s="7" t="str">
        <x:v>alerts_per_1000</x:v>
      </x:c>
      <x:c r="C17" s="16" t="n">
        <x:v>892.539621</x:v>
      </x:c>
      <x:c r="D17" s="16" t="n">
        <x:v>755.315037</x:v>
      </x:c>
      <x:c r="E17" s="16" t="n">
        <x:v>971.395439</x:v>
      </x:c>
      <x:c r="F17" s="7" t="str">
        <x:v>exact all-eligible predictions</x:v>
      </x:c>
      <x:c r="G17" s="10" t="n">
        <x:v>1000</x:v>
      </x:c>
    </x:row>
    <x:row r="18" ht="36" customHeight="1">
      <x:c r="A18" s="3" t="str">
        <x:v>threshold workload among all eligible MOVER 2022 patients at 5%</x:v>
      </x:c>
      <x:c r="B18" s="3" t="str">
        <x:v>true_positives_per_1000</x:v>
      </x:c>
      <x:c r="C18" s="15" t="n">
        <x:v>108.376094</x:v>
      </x:c>
      <x:c r="D18" s="15" t="n">
        <x:v>92.465112</x:v>
      </x:c>
      <x:c r="E18" s="15" t="n">
        <x:v>119.9638</x:v>
      </x:c>
      <x:c r="F18" s="3" t="str">
        <x:v>plug-in ratio or total derived from AIPW components</x:v>
      </x:c>
      <x:c r="G18" s="9" t="n">
        <x:v>1000</x:v>
      </x:c>
    </x:row>
    <x:row r="19" ht="36" customHeight="1">
      <x:c r="A19" s="7" t="str">
        <x:v>threshold workload among all eligible MOVER 2022 patients at 5%</x:v>
      </x:c>
      <x:c r="B19" s="7" t="str">
        <x:v>false_positives_per_1000</x:v>
      </x:c>
      <x:c r="C19" s="16" t="n">
        <x:v>784.163527</x:v>
      </x:c>
      <x:c r="D19" s="16" t="n">
        <x:v>653.393168</x:v>
      </x:c>
      <x:c r="E19" s="16" t="n">
        <x:v>860.861393</x:v>
      </x:c>
      <x:c r="F19" s="7" t="str">
        <x:v>plug-in ratio or total derived from AIPW components</x:v>
      </x:c>
      <x:c r="G19" s="10" t="n">
        <x:v>1000</x:v>
      </x:c>
    </x:row>
    <x:row r="20" ht="36" customHeight="1">
      <x:c r="A20" s="3" t="str">
        <x:v>threshold workload among all eligible MOVER 2022 patients at 5%</x:v>
      </x:c>
      <x:c r="B20" s="3" t="str">
        <x:v>sensitivity</x:v>
      </x:c>
      <x:c r="C20" s="15" t="n">
        <x:v>0.970896</x:v>
      </x:c>
      <x:c r="D20" s="15" t="n">
        <x:v>0.887022</x:v>
      </x:c>
      <x:c r="E20" s="15" t="n">
        <x:v>0.998957</x:v>
      </x:c>
      <x:c r="F20" s="3" t="str">
        <x:v>plug-in ratio or total derived from AIPW components</x:v>
      </x:c>
      <x:c r="G20" s="9" t="n">
        <x:v>1000</x:v>
      </x:c>
    </x:row>
    <x:row r="21" ht="36" customHeight="1">
      <x:c r="A21" s="7" t="str">
        <x:v>threshold workload among all eligible MOVER 2022 patients at 5%</x:v>
      </x:c>
      <x:c r="B21" s="7" t="str">
        <x:v>positive_predictive_value</x:v>
      </x:c>
      <x:c r="C21" s="16" t="n">
        <x:v>0.121424</x:v>
      </x:c>
      <x:c r="D21" s="16" t="n">
        <x:v>0.104746</x:v>
      </x:c>
      <x:c r="E21" s="16" t="n">
        <x:v>0.139919</x:v>
      </x:c>
      <x:c r="F21" s="7" t="str">
        <x:v>plug-in ratio or total derived from AIPW components</x:v>
      </x:c>
      <x:c r="G21" s="10" t="n">
        <x:v>1000</x:v>
      </x:c>
    </x:row>
    <x:row r="22" ht="36" customHeight="1">
      <x:c r="A22" s="3" t="str">
        <x:v>threshold workload among all eligible MOVER 2022 patients at 5%</x:v>
      </x:c>
      <x:c r="B22" s="3" t="str">
        <x:v>false_positives_per_true_positive</x:v>
      </x:c>
      <x:c r="C22" s="15" t="n">
        <x:v>7.235577</x:v>
      </x:c>
      <x:c r="D22" s="15" t="n">
        <x:v>6.146998</x:v>
      </x:c>
      <x:c r="E22" s="15" t="n">
        <x:v>8.546928</x:v>
      </x:c>
      <x:c r="F22" s="3" t="str">
        <x:v>plug-in ratio or total derived from AIPW components</x:v>
      </x:c>
      <x:c r="G22" s="9" t="n">
        <x:v>1000</x:v>
      </x:c>
    </x:row>
    <x:row r="23" ht="36" customHeight="1">
      <x:c r="A23" s="7" t="str">
        <x:v>threshold workload among all eligible MOVER 2022 patients at 5%</x:v>
      </x:c>
      <x:c r="B23" s="7" t="str">
        <x:v>absolute_net_benefit</x:v>
      </x:c>
      <x:c r="C23" s="16" t="n">
        <x:v>0.067104</x:v>
      </x:c>
      <x:c r="D23" s="16" t="n">
        <x:v>0.05277</x:v>
      </x:c>
      <x:c r="E23" s="16" t="n">
        <x:v>0.079144</x:v>
      </x:c>
      <x:c r="F23" s="7" t="str">
        <x:v>plug-in ratio or total derived from AIPW components</x:v>
      </x:c>
      <x:c r="G23" s="10" t="n">
        <x:v>1000</x:v>
      </x:c>
    </x:row>
    <x:row r="24" ht="36" customHeight="1">
      <x:c r="A24" s="3" t="str">
        <x:v>threshold workload among all eligible MOVER 2022 patients at 5%</x:v>
      </x:c>
      <x:c r="B24" s="3" t="str">
        <x:v>treat_all_net_benefit</x:v>
      </x:c>
      <x:c r="C24" s="15" t="n">
        <x:v>0.064868</x:v>
      </x:c>
      <x:c r="D24" s="15" t="n">
        <x:v>0.051835</x:v>
      </x:c>
      <x:c r="E24" s="15" t="n">
        <x:v>0.078006</x:v>
      </x:c>
      <x:c r="F24" s="3" t="str">
        <x:v>plug-in ratio or total derived from AIPW components</x:v>
      </x:c>
      <x:c r="G24" s="9" t="n">
        <x:v>1000</x:v>
      </x:c>
    </x:row>
    <x:row r="25" ht="36" customHeight="1">
      <x:c r="A25" s="7" t="str">
        <x:v>threshold workload among all eligible MOVER 2022 patients at 5%</x:v>
      </x:c>
      <x:c r="B25" s="7" t="str">
        <x:v>incremental_net_benefit_vs_better_default</x:v>
      </x:c>
      <x:c r="C25" s="16" t="n">
        <x:v>0.002236</x:v>
      </x:c>
      <x:c r="D25" s="16" t="n">
        <x:v>-0.002814</x:v>
      </x:c>
      <x:c r="E25" s="16" t="n">
        <x:v>0.004622</x:v>
      </x:c>
      <x:c r="F25" s="7" t="str">
        <x:v>plug-in ratio or total derived from AIPW components</x:v>
      </x:c>
      <x:c r="G25" s="10" t="n">
        <x:v>1000</x:v>
      </x:c>
    </x:row>
    <x:row r="26" ht="36" customHeight="1">
      <x:c r="A26" s="3" t="str">
        <x:v>threshold workload among all eligible MOVER 2022 patients at 10%</x:v>
      </x:c>
      <x:c r="B26" s="3" t="str">
        <x:v>alerts</x:v>
      </x:c>
      <x:c r="C26" s="9" t="n">
        <x:v>980</x:v>
      </x:c>
      <x:c r="D26" s="15" t="n">
        <x:v>754.975</x:v>
      </x:c>
      <x:c r="E26" s="15" t="n">
        <x:v>1259.05</x:v>
      </x:c>
      <x:c r="F26" s="3" t="str">
        <x:v>exact all-eligible predictions</x:v>
      </x:c>
      <x:c r="G26" s="9" t="n">
        <x:v>1000</x:v>
      </x:c>
    </x:row>
    <x:row r="27" ht="36" customHeight="1">
      <x:c r="A27" s="7" t="str">
        <x:v>threshold workload among all eligible MOVER 2022 patients at 10%</x:v>
      </x:c>
      <x:c r="B27" s="7" t="str">
        <x:v>alerts_per_1000</x:v>
      </x:c>
      <x:c r="C27" s="16" t="n">
        <x:v>378.817163</x:v>
      </x:c>
      <x:c r="D27" s="16" t="n">
        <x:v>291.834171</x:v>
      </x:c>
      <x:c r="E27" s="16" t="n">
        <x:v>486.683417</x:v>
      </x:c>
      <x:c r="F27" s="7" t="str">
        <x:v>exact all-eligible predictions</x:v>
      </x:c>
      <x:c r="G27" s="10" t="n">
        <x:v>1000</x:v>
      </x:c>
    </x:row>
    <x:row r="28" ht="36" customHeight="1">
      <x:c r="A28" s="3" t="str">
        <x:v>threshold workload among all eligible MOVER 2022 patients at 10%</x:v>
      </x:c>
      <x:c r="B28" s="3" t="str">
        <x:v>true_positives_per_1000</x:v>
      </x:c>
      <x:c r="C28" s="15" t="n">
        <x:v>68.619082</x:v>
      </x:c>
      <x:c r="D28" s="15" t="n">
        <x:v>53.337771</x:v>
      </x:c>
      <x:c r="E28" s="15" t="n">
        <x:v>83.584572</x:v>
      </x:c>
      <x:c r="F28" s="3" t="str">
        <x:v>plug-in ratio or total derived from AIPW components</x:v>
      </x:c>
      <x:c r="G28" s="9" t="n">
        <x:v>1000</x:v>
      </x:c>
    </x:row>
    <x:row r="29" ht="36" customHeight="1">
      <x:c r="A29" s="7" t="str">
        <x:v>threshold workload among all eligible MOVER 2022 patients at 10%</x:v>
      </x:c>
      <x:c r="B29" s="7" t="str">
        <x:v>false_positives_per_1000</x:v>
      </x:c>
      <x:c r="C29" s="16" t="n">
        <x:v>310.198081</x:v>
      </x:c>
      <x:c r="D29" s="16" t="n">
        <x:v>233.778495</x:v>
      </x:c>
      <x:c r="E29" s="16" t="n">
        <x:v>405.984281</x:v>
      </x:c>
      <x:c r="F29" s="7" t="str">
        <x:v>plug-in ratio or total derived from AIPW components</x:v>
      </x:c>
      <x:c r="G29" s="10" t="n">
        <x:v>1000</x:v>
      </x:c>
    </x:row>
    <x:row r="30" ht="36" customHeight="1">
      <x:c r="A30" s="3" t="str">
        <x:v>threshold workload among all eligible MOVER 2022 patients at 10%</x:v>
      </x:c>
      <x:c r="B30" s="3" t="str">
        <x:v>sensitivity</x:v>
      </x:c>
      <x:c r="C30" s="15" t="n">
        <x:v>0.61473</x:v>
      </x:c>
      <x:c r="D30" s="15" t="n">
        <x:v>0.50105</x:v>
      </x:c>
      <x:c r="E30" s="15" t="n">
        <x:v>0.724484</x:v>
      </x:c>
      <x:c r="F30" s="3" t="str">
        <x:v>plug-in ratio or total derived from AIPW components</x:v>
      </x:c>
      <x:c r="G30" s="9" t="n">
        <x:v>1000</x:v>
      </x:c>
    </x:row>
    <x:row r="31" ht="36" customHeight="1">
      <x:c r="A31" s="7" t="str">
        <x:v>threshold workload among all eligible MOVER 2022 patients at 10%</x:v>
      </x:c>
      <x:c r="B31" s="7" t="str">
        <x:v>positive_predictive_value</x:v>
      </x:c>
      <x:c r="C31" s="16" t="n">
        <x:v>0.18114</x:v>
      </x:c>
      <x:c r="D31" s="16" t="n">
        <x:v>0.148585</x:v>
      </x:c>
      <x:c r="E31" s="16" t="n">
        <x:v>0.213414</x:v>
      </x:c>
      <x:c r="F31" s="7" t="str">
        <x:v>plug-in ratio or total derived from AIPW components</x:v>
      </x:c>
      <x:c r="G31" s="10" t="n">
        <x:v>1000</x:v>
      </x:c>
    </x:row>
    <x:row r="32" ht="36" customHeight="1">
      <x:c r="A32" s="3" t="str">
        <x:v>threshold workload among all eligible MOVER 2022 patients at 10%</x:v>
      </x:c>
      <x:c r="B32" s="3" t="str">
        <x:v>false_positives_per_true_positive</x:v>
      </x:c>
      <x:c r="C32" s="15" t="n">
        <x:v>4.52058</x:v>
      </x:c>
      <x:c r="D32" s="15" t="n">
        <x:v>3.685732</x:v>
      </x:c>
      <x:c r="E32" s="15" t="n">
        <x:v>5.730136</x:v>
      </x:c>
      <x:c r="F32" s="3" t="str">
        <x:v>plug-in ratio or total derived from AIPW components</x:v>
      </x:c>
      <x:c r="G32" s="9" t="n">
        <x:v>1000</x:v>
      </x:c>
    </x:row>
    <x:row r="33" ht="36" customHeight="1">
      <x:c r="A33" s="7" t="str">
        <x:v>threshold workload among all eligible MOVER 2022 patients at 10%</x:v>
      </x:c>
      <x:c r="B33" s="7" t="str">
        <x:v>absolute_net_benefit</x:v>
      </x:c>
      <x:c r="C33" s="16" t="n">
        <x:v>0.034153</x:v>
      </x:c>
      <x:c r="D33" s="16" t="n">
        <x:v>0.022491</x:v>
      </x:c>
      <x:c r="E33" s="16" t="n">
        <x:v>0.044622</x:v>
      </x:c>
      <x:c r="F33" s="7" t="str">
        <x:v>plug-in ratio or total derived from AIPW components</x:v>
      </x:c>
      <x:c r="G33" s="10" t="n">
        <x:v>1000</x:v>
      </x:c>
    </x:row>
    <x:row r="34" ht="36" customHeight="1">
      <x:c r="A34" s="3" t="str">
        <x:v>threshold workload among all eligible MOVER 2022 patients at 10%</x:v>
      </x:c>
      <x:c r="B34" s="3" t="str">
        <x:v>treat_all_net_benefit</x:v>
      </x:c>
      <x:c r="C34" s="15" t="n">
        <x:v>0.012916</x:v>
      </x:c>
      <x:c r="D34" s="15" t="n">
        <x:v>-0.00084</x:v>
      </x:c>
      <x:c r="E34" s="15" t="n">
        <x:v>0.026785</x:v>
      </x:c>
      <x:c r="F34" s="3" t="str">
        <x:v>plug-in ratio or total derived from AIPW components</x:v>
      </x:c>
      <x:c r="G34" s="9" t="n">
        <x:v>1000</x:v>
      </x:c>
    </x:row>
    <x:row r="35" ht="36" customHeight="1">
      <x:c r="A35" s="7" t="str">
        <x:v>threshold workload among all eligible MOVER 2022 patients at 10%</x:v>
      </x:c>
      <x:c r="B35" s="7" t="str">
        <x:v>incremental_net_benefit_vs_better_default</x:v>
      </x:c>
      <x:c r="C35" s="16" t="n">
        <x:v>0.021236</x:v>
      </x:c>
      <x:c r="D35" s="16" t="n">
        <x:v>0.010137</x:v>
      </x:c>
      <x:c r="E35" s="16" t="n">
        <x:v>0.0297</x:v>
      </x:c>
      <x:c r="F35" s="7" t="str">
        <x:v>plug-in ratio or total derived from AIPW components</x:v>
      </x:c>
      <x:c r="G35" s="10" t="n">
        <x:v>1000</x:v>
      </x:c>
    </x:row>
    <x:row r="36" ht="36" customHeight="1">
      <x:c r="A36" s="3" t="str">
        <x:v>threshold workload among all eligible MOVER 2022 patients at 20%</x:v>
      </x:c>
      <x:c r="B36" s="3" t="str">
        <x:v>alerts</x:v>
      </x:c>
      <x:c r="C36" s="9" t="n">
        <x:v>226</x:v>
      </x:c>
      <x:c r="D36" s="9" t="n">
        <x:v>168</x:v>
      </x:c>
      <x:c r="E36" s="15" t="n">
        <x:v>298.05</x:v>
      </x:c>
      <x:c r="F36" s="3" t="str">
        <x:v>exact all-eligible predictions</x:v>
      </x:c>
      <x:c r="G36" s="9" t="n">
        <x:v>1000</x:v>
      </x:c>
    </x:row>
    <x:row r="37" ht="36" customHeight="1">
      <x:c r="A37" s="7" t="str">
        <x:v>threshold workload among all eligible MOVER 2022 patients at 20%</x:v>
      </x:c>
      <x:c r="B37" s="7" t="str">
        <x:v>alerts_per_1000</x:v>
      </x:c>
      <x:c r="C37" s="16" t="n">
        <x:v>87.359876</x:v>
      </x:c>
      <x:c r="D37" s="16" t="n">
        <x:v>64.940085</x:v>
      </x:c>
      <x:c r="E37" s="16" t="n">
        <x:v>115.210669</x:v>
      </x:c>
      <x:c r="F37" s="7" t="str">
        <x:v>exact all-eligible predictions</x:v>
      </x:c>
      <x:c r="G37" s="10" t="n">
        <x:v>1000</x:v>
      </x:c>
    </x:row>
    <x:row r="38" ht="36" customHeight="1">
      <x:c r="A38" s="3" t="str">
        <x:v>threshold workload among all eligible MOVER 2022 patients at 20%</x:v>
      </x:c>
      <x:c r="B38" s="3" t="str">
        <x:v>true_positives_per_1000</x:v>
      </x:c>
      <x:c r="C38" s="15" t="n">
        <x:v>26.970013</x:v>
      </x:c>
      <x:c r="D38" s="15" t="n">
        <x:v>20.037747</x:v>
      </x:c>
      <x:c r="E38" s="15" t="n">
        <x:v>34.959675</x:v>
      </x:c>
      <x:c r="F38" s="3" t="str">
        <x:v>plug-in ratio or total derived from AIPW components</x:v>
      </x:c>
      <x:c r="G38" s="9" t="n">
        <x:v>1000</x:v>
      </x:c>
    </x:row>
    <x:row r="39" ht="36" customHeight="1">
      <x:c r="A39" s="7" t="str">
        <x:v>threshold workload among all eligible MOVER 2022 patients at 20%</x:v>
      </x:c>
      <x:c r="B39" s="7" t="str">
        <x:v>false_positives_per_1000</x:v>
      </x:c>
      <x:c r="C39" s="16" t="n">
        <x:v>60.389863</x:v>
      </x:c>
      <x:c r="D39" s="16" t="n">
        <x:v>41.240802</x:v>
      </x:c>
      <x:c r="E39" s="16" t="n">
        <x:v>83.828521</x:v>
      </x:c>
      <x:c r="F39" s="7" t="str">
        <x:v>plug-in ratio or total derived from AIPW components</x:v>
      </x:c>
      <x:c r="G39" s="10" t="n">
        <x:v>1000</x:v>
      </x:c>
    </x:row>
    <x:row r="40" ht="36" customHeight="1">
      <x:c r="A40" s="3" t="str">
        <x:v>threshold workload among all eligible MOVER 2022 patients at 20%</x:v>
      </x:c>
      <x:c r="B40" s="3" t="str">
        <x:v>sensitivity</x:v>
      </x:c>
      <x:c r="C40" s="15" t="n">
        <x:v>0.241613</x:v>
      </x:c>
      <x:c r="D40" s="15" t="n">
        <x:v>0.184438</x:v>
      </x:c>
      <x:c r="E40" s="15" t="n">
        <x:v>0.307767</x:v>
      </x:c>
      <x:c r="F40" s="3" t="str">
        <x:v>plug-in ratio or total derived from AIPW components</x:v>
      </x:c>
      <x:c r="G40" s="9" t="n">
        <x:v>1000</x:v>
      </x:c>
    </x:row>
    <x:row r="41" ht="36" customHeight="1">
      <x:c r="A41" s="7" t="str">
        <x:v>threshold workload among all eligible MOVER 2022 patients at 20%</x:v>
      </x:c>
      <x:c r="B41" s="7" t="str">
        <x:v>positive_predictive_value</x:v>
      </x:c>
      <x:c r="C41" s="16" t="n">
        <x:v>0.308723</x:v>
      </x:c>
      <x:c r="D41" s="16" t="n">
        <x:v>0.243597</x:v>
      </x:c>
      <x:c r="E41" s="16" t="n">
        <x:v>0.388092</x:v>
      </x:c>
      <x:c r="F41" s="7" t="str">
        <x:v>plug-in ratio or total derived from AIPW components</x:v>
      </x:c>
      <x:c r="G41" s="10" t="n">
        <x:v>1000</x:v>
      </x:c>
    </x:row>
    <x:row r="42" ht="36" customHeight="1">
      <x:c r="A42" s="3" t="str">
        <x:v>threshold workload among all eligible MOVER 2022 patients at 20%</x:v>
      </x:c>
      <x:c r="B42" s="3" t="str">
        <x:v>false_positives_per_true_positive</x:v>
      </x:c>
      <x:c r="C42" s="15" t="n">
        <x:v>2.239148</x:v>
      </x:c>
      <x:c r="D42" s="15" t="n">
        <x:v>1.576712</x:v>
      </x:c>
      <x:c r="E42" s="15" t="n">
        <x:v>3.105143</x:v>
      </x:c>
      <x:c r="F42" s="3" t="str">
        <x:v>plug-in ratio or total derived from AIPW components</x:v>
      </x:c>
      <x:c r="G42" s="9" t="n">
        <x:v>1000</x:v>
      </x:c>
    </x:row>
    <x:row r="43" ht="36" customHeight="1">
      <x:c r="A43" s="7" t="str">
        <x:v>threshold workload among all eligible MOVER 2022 patients at 20%</x:v>
      </x:c>
      <x:c r="B43" s="7" t="str">
        <x:v>absolute_net_benefit</x:v>
      </x:c>
      <x:c r="C43" s="16" t="n">
        <x:v>0.011873</x:v>
      </x:c>
      <x:c r="D43" s="16" t="n">
        <x:v>0.005378</x:v>
      </x:c>
      <x:c r="E43" s="16" t="n">
        <x:v>0.019809</x:v>
      </x:c>
      <x:c r="F43" s="7" t="str">
        <x:v>plug-in ratio or total derived from AIPW components</x:v>
      </x:c>
      <x:c r="G43" s="10" t="n">
        <x:v>1000</x:v>
      </x:c>
    </x:row>
    <x:row r="44" ht="36" customHeight="1">
      <x:c r="A44" s="3" t="str">
        <x:v>threshold workload among all eligible MOVER 2022 patients at 20%</x:v>
      </x:c>
      <x:c r="B44" s="3" t="str">
        <x:v>treat_all_net_benefit</x:v>
      </x:c>
      <x:c r="C44" s="15" t="n">
        <x:v>-0.110469</x:v>
      </x:c>
      <x:c r="D44" s="15" t="n">
        <x:v>-0.125946</x:v>
      </x:c>
      <x:c r="E44" s="15" t="n">
        <x:v>-0.094867</x:v>
      </x:c>
      <x:c r="F44" s="3" t="str">
        <x:v>plug-in ratio or total derived from AIPW components</x:v>
      </x:c>
      <x:c r="G44" s="9" t="n">
        <x:v>1000</x:v>
      </x:c>
    </x:row>
    <x:row r="45" ht="36" customHeight="1">
      <x:c r="A45" s="7" t="str">
        <x:v>threshold workload among all eligible MOVER 2022 patients at 20%</x:v>
      </x:c>
      <x:c r="B45" s="7" t="str">
        <x:v>incremental_net_benefit_vs_better_default</x:v>
      </x:c>
      <x:c r="C45" s="16" t="n">
        <x:v>0.011873</x:v>
      </x:c>
      <x:c r="D45" s="16" t="n">
        <x:v>0.005378</x:v>
      </x:c>
      <x:c r="E45" s="16" t="n">
        <x:v>0.019809</x:v>
      </x:c>
      <x:c r="F45" s="7" t="str">
        <x:v>plug-in ratio or total derived from AIPW components</x:v>
      </x:c>
      <x:c r="G45" s="10" t="n">
        <x:v>1000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64" customHeight="1">
      <x:c r="A1" s="6" t="str">
        <x:v>Reference</x:v>
      </x:c>
      <x:c r="B1" s="6" t="str">
        <x:v>k</x:v>
      </x:c>
      <x:c r="C1" s="6" t="str">
        <x:v>Alpha</x:v>
      </x:c>
      <x:c r="D1" s="6" t="str">
        <x:v>Beta</x:v>
      </x:c>
      <x:c r="E1" s="6" t="str">
        <x:v>Target O/E</x:v>
      </x:c>
      <x:c r="F1" s="6" t="str">
        <x:v>Slope</x:v>
      </x:c>
      <x:c r="G1" s="6" t="str">
        <x:v>AUROC</x:v>
      </x:c>
      <x:c r="H1" s="6" t="str">
        <x:v>Brier</x:v>
      </x:c>
      <x:c r="I1" s="6" t="str">
        <x:v>10% alerts</x:v>
      </x:c>
    </x:row>
    <x:row r="2" ht="30" customHeight="1">
      <x:c r="A2" s="3" t="str">
        <x:v>Canonical MAR reference</x:v>
      </x:c>
      <x:c r="B2" s="3" t="str">
        <x:v>NA</x:v>
      </x:c>
      <x:c r="C2" s="11" t="n">
        <x:v>0.207</x:v>
      </x:c>
      <x:c r="D2" s="11" t="n">
        <x:v>0.891</x:v>
      </x:c>
      <x:c r="E2" s="11" t="n">
        <x:v>1.012</x:v>
      </x:c>
      <x:c r="F2" s="11" t="n">
        <x:v>0.884</x:v>
      </x:c>
      <x:c r="G2" s="11" t="n">
        <x:v>0.674</x:v>
      </x:c>
      <x:c r="H2" s="11" t="n">
        <x:v>0.0937</x:v>
      </x:c>
      <x:c r="I2" s="9" t="n">
        <x:v>980</x:v>
      </x:c>
    </x:row>
    <x:row r="3" ht="30" customHeight="1">
      <x:c r="A3" s="7" t="str">
        <x:v>OR-completion sensitivity</x:v>
      </x:c>
      <x:c r="B3" s="12" t="n">
        <x:v>0.5</x:v>
      </x:c>
      <x:c r="C3" s="12" t="n">
        <x:v>0.33</x:v>
      </x:c>
      <x:c r="D3" s="12" t="n">
        <x:v>0.917</x:v>
      </x:c>
      <x:c r="E3" s="12" t="n">
        <x:v>1.012</x:v>
      </x:c>
      <x:c r="F3" s="12" t="n">
        <x:v>0.891</x:v>
      </x:c>
      <x:c r="G3" s="12" t="n">
        <x:v>0.678</x:v>
      </x:c>
      <x:c r="H3" s="12" t="n">
        <x:v>0.0935</x:v>
      </x:c>
      <x:c r="I3" s="10" t="n">
        <x:v>981</x:v>
      </x:c>
    </x:row>
    <x:row r="4" ht="30" customHeight="1">
      <x:c r="A4" s="3" t="str">
        <x:v>OR-completion sensitivity</x:v>
      </x:c>
      <x:c r="B4" s="11" t="n">
        <x:v>0.667</x:v>
      </x:c>
      <x:c r="C4" s="11" t="n">
        <x:v>0.291</x:v>
      </x:c>
      <x:c r="D4" s="11" t="n">
        <x:v>0.916</x:v>
      </x:c>
      <x:c r="E4" s="11" t="n">
        <x:v>1.011</x:v>
      </x:c>
      <x:c r="F4" s="11" t="n">
        <x:v>0.885</x:v>
      </x:c>
      <x:c r="G4" s="11" t="n">
        <x:v>0.675</x:v>
      </x:c>
      <x:c r="H4" s="11" t="n">
        <x:v>0.0937</x:v>
      </x:c>
      <x:c r="I4" s="9" t="n">
        <x:v>974</x:v>
      </x:c>
    </x:row>
    <x:row r="5" ht="36" customHeight="1">
      <x:c r="A5" s="7" t="str">
        <x:v>OR-completion reference, k=1</x:v>
      </x:c>
      <x:c r="B5" s="10" t="n">
        <x:v>1</x:v>
      </x:c>
      <x:c r="C5" s="12" t="n">
        <x:v>0.286</x:v>
      </x:c>
      <x:c r="D5" s="12" t="n">
        <x:v>0.937</x:v>
      </x:c>
      <x:c r="E5" s="12" t="n">
        <x:v>1.011</x:v>
      </x:c>
      <x:c r="F5" s="12" t="n">
        <x:v>0.881</x:v>
      </x:c>
      <x:c r="G5" s="12" t="n">
        <x:v>0.671</x:v>
      </x:c>
      <x:c r="H5" s="12" t="n">
        <x:v>0.0938</x:v>
      </x:c>
      <x:c r="I5" s="10" t="n">
        <x:v>957</x:v>
      </x:c>
    </x:row>
    <x:row r="6" ht="30" customHeight="1">
      <x:c r="A6" s="3" t="str">
        <x:v>OR-completion sensitivity</x:v>
      </x:c>
      <x:c r="B6" s="11" t="n">
        <x:v>1.5</x:v>
      </x:c>
      <x:c r="C6" s="11" t="n">
        <x:v>0.282</x:v>
      </x:c>
      <x:c r="D6" s="11" t="n">
        <x:v>0.97</x:v>
      </x:c>
      <x:c r="E6" s="11" t="n">
        <x:v>1.009</x:v>
      </x:c>
      <x:c r="F6" s="11" t="n">
        <x:v>0.872</x:v>
      </x:c>
      <x:c r="G6" s="11" t="n">
        <x:v>0.665</x:v>
      </x:c>
      <x:c r="H6" s="11" t="n">
        <x:v>0.094</x:v>
      </x:c>
      <x:c r="I6" s="9" t="n">
        <x:v>942</x:v>
      </x:c>
    </x:row>
    <x:row r="7" ht="30" customHeight="1">
      <x:c r="A7" s="7" t="str">
        <x:v>OR-completion sensitivity</x:v>
      </x:c>
      <x:c r="B7" s="10" t="n">
        <x:v>2</x:v>
      </x:c>
      <x:c r="C7" s="12" t="n">
        <x:v>0.246</x:v>
      </x:c>
      <x:c r="D7" s="12" t="n">
        <x:v>0.984</x:v>
      </x:c>
      <x:c r="E7" s="12" t="n">
        <x:v>1.007</x:v>
      </x:c>
      <x:c r="F7" s="12" t="n">
        <x:v>0.867</x:v>
      </x:c>
      <x:c r="G7" s="12" t="n">
        <x:v>0.656</x:v>
      </x:c>
      <x:c r="H7" s="12" t="n">
        <x:v>0.0943</x:v>
      </x:c>
      <x:c r="I7" s="10" t="n">
        <x:v>963</x:v>
      </x:c>
    </x:row>
    <x:row r="8" ht="30" customHeight="1">
      <x:c r="A8" s="3" t="str">
        <x:v>OR-completion sensitivity</x:v>
      </x:c>
      <x:c r="B8" s="9" t="n">
        <x:v>3</x:v>
      </x:c>
      <x:c r="C8" s="11" t="n">
        <x:v>0.088</x:v>
      </x:c>
      <x:c r="D8" s="11" t="n">
        <x:v>0.963</x:v>
      </x:c>
      <x:c r="E8" s="11" t="n">
        <x:v>1.004</x:v>
      </x:c>
      <x:c r="F8" s="11" t="n">
        <x:v>0.85</x:v>
      </x:c>
      <x:c r="G8" s="11" t="n">
        <x:v>0.634</x:v>
      </x:c>
      <x:c r="H8" s="11" t="n">
        <x:v>0.0949</x:v>
      </x:c>
      <x:c r="I8" s="9" t="n">
        <x:v>994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64" customHeight="1">
      <x:c r="A1" s="6" t="str">
        <x:v>Reference</x:v>
      </x:c>
      <x:c r="B1" s="6" t="str">
        <x:v>k</x:v>
      </x:c>
      <x:c r="C1" s="6" t="str">
        <x:v>Alpha</x:v>
      </x:c>
      <x:c r="D1" s="6" t="str">
        <x:v>Beta</x:v>
      </x:c>
      <x:c r="E1" s="6" t="str">
        <x:v>Target O/E</x:v>
      </x:c>
      <x:c r="F1" s="6" t="str">
        <x:v>Slope</x:v>
      </x:c>
      <x:c r="G1" s="6" t="str">
        <x:v>AUROC</x:v>
      </x:c>
      <x:c r="H1" s="6" t="str">
        <x:v>Brier</x:v>
      </x:c>
      <x:c r="I1" s="6" t="str">
        <x:v>10% alerts</x:v>
      </x:c>
    </x:row>
    <x:row r="2" ht="30" customHeight="1">
      <x:c r="A2" s="3" t="str">
        <x:v>Canonical MAR reference</x:v>
      </x:c>
      <x:c r="B2" s="3" t="str">
        <x:v>NA</x:v>
      </x:c>
      <x:c r="C2" s="11" t="n">
        <x:v>0.207</x:v>
      </x:c>
      <x:c r="D2" s="11" t="n">
        <x:v>0.891</x:v>
      </x:c>
      <x:c r="E2" s="11" t="n">
        <x:v>1.012</x:v>
      </x:c>
      <x:c r="F2" s="11" t="n">
        <x:v>0.884</x:v>
      </x:c>
      <x:c r="G2" s="11" t="n">
        <x:v>0.674</x:v>
      </x:c>
      <x:c r="H2" s="11" t="n">
        <x:v>0.0937</x:v>
      </x:c>
      <x:c r="I2" s="9" t="n">
        <x:v>980</x:v>
      </x:c>
    </x:row>
    <x:row r="3" ht="30" customHeight="1">
      <x:c r="A3" s="7" t="str">
        <x:v>OR-completion sensitivity</x:v>
      </x:c>
      <x:c r="B3" s="12" t="n">
        <x:v>0.5</x:v>
      </x:c>
      <x:c r="C3" s="12" t="n">
        <x:v>0.15</x:v>
      </x:c>
      <x:c r="D3" s="12" t="n">
        <x:v>0.892</x:v>
      </x:c>
      <x:c r="E3" s="12" t="n">
        <x:v>1.062</x:v>
      </x:c>
      <x:c r="F3" s="12" t="n">
        <x:v>0.884</x:v>
      </x:c>
      <x:c r="G3" s="12" t="n">
        <x:v>0.674</x:v>
      </x:c>
      <x:c r="H3" s="12" t="n">
        <x:v>0.0937</x:v>
      </x:c>
      <x:c r="I3" s="10" t="n">
        <x:v>866</x:v>
      </x:c>
    </x:row>
    <x:row r="4" ht="30" customHeight="1">
      <x:c r="A4" s="3" t="str">
        <x:v>OR-completion sensitivity</x:v>
      </x:c>
      <x:c r="B4" s="11" t="n">
        <x:v>0.667</x:v>
      </x:c>
      <x:c r="C4" s="11" t="n">
        <x:v>0.146</x:v>
      </x:c>
      <x:c r="D4" s="11" t="n">
        <x:v>0.878</x:v>
      </x:c>
      <x:c r="E4" s="11" t="n">
        <x:v>1.037</x:v>
      </x:c>
      <x:c r="F4" s="11" t="n">
        <x:v>0.897</x:v>
      </x:c>
      <x:c r="G4" s="11" t="n">
        <x:v>0.674</x:v>
      </x:c>
      <x:c r="H4" s="11" t="n">
        <x:v>0.0936</x:v>
      </x:c>
      <x:c r="I4" s="9" t="n">
        <x:v>937</x:v>
      </x:c>
    </x:row>
    <x:row r="5" ht="36" customHeight="1">
      <x:c r="A5" s="7" t="str">
        <x:v>OR-completion reference, k=1</x:v>
      </x:c>
      <x:c r="B5" s="10" t="n">
        <x:v>1</x:v>
      </x:c>
      <x:c r="C5" s="12" t="n">
        <x:v>0.134</x:v>
      </x:c>
      <x:c r="D5" s="12" t="n">
        <x:v>0.851</x:v>
      </x:c>
      <x:c r="E5" s="12" t="n">
        <x:v>0.993</x:v>
      </x:c>
      <x:c r="F5" s="12" t="n">
        <x:v>0.926</x:v>
      </x:c>
      <x:c r="G5" s="12" t="n">
        <x:v>0.674</x:v>
      </x:c>
      <x:c r="H5" s="12" t="n">
        <x:v>0.0936</x:v>
      </x:c>
      <x:c r="I5" s="10" t="n">
        <x:v>1049</x:v>
      </x:c>
    </x:row>
    <x:row r="6" ht="30" customHeight="1">
      <x:c r="A6" s="3" t="str">
        <x:v>OR-completion sensitivity</x:v>
      </x:c>
      <x:c r="B6" s="11" t="n">
        <x:v>1.5</x:v>
      </x:c>
      <x:c r="C6" s="11" t="n">
        <x:v>0.11</x:v>
      </x:c>
      <x:c r="D6" s="11" t="n">
        <x:v>0.813</x:v>
      </x:c>
      <x:c r="E6" s="11" t="n">
        <x:v>0.939</x:v>
      </x:c>
      <x:c r="F6" s="11" t="n">
        <x:v>0.969</x:v>
      </x:c>
      <x:c r="G6" s="11" t="n">
        <x:v>0.674</x:v>
      </x:c>
      <x:c r="H6" s="11" t="n">
        <x:v>0.0936</x:v>
      </x:c>
      <x:c r="I6" s="9" t="n">
        <x:v>1200</x:v>
      </x:c>
    </x:row>
    <x:row r="7" ht="30" customHeight="1">
      <x:c r="A7" s="7" t="str">
        <x:v>OR-completion sensitivity</x:v>
      </x:c>
      <x:c r="B7" s="10" t="n">
        <x:v>2</x:v>
      </x:c>
      <x:c r="C7" s="12" t="n">
        <x:v>0.082</x:v>
      </x:c>
      <x:c r="D7" s="12" t="n">
        <x:v>0.779</x:v>
      </x:c>
      <x:c r="E7" s="12" t="n">
        <x:v>0.896</x:v>
      </x:c>
      <x:c r="F7" s="12" t="n">
        <x:v>1.012</x:v>
      </x:c>
      <x:c r="G7" s="12" t="n">
        <x:v>0.674</x:v>
      </x:c>
      <x:c r="H7" s="12" t="n">
        <x:v>0.0937</x:v>
      </x:c>
      <x:c r="I7" s="10" t="n">
        <x:v>1343</x:v>
      </x:c>
    </x:row>
    <x:row r="8" ht="30" customHeight="1">
      <x:c r="A8" s="3" t="str">
        <x:v>OR-completion sensitivity</x:v>
      </x:c>
      <x:c r="B8" s="9" t="n">
        <x:v>3</x:v>
      </x:c>
      <x:c r="C8" s="11" t="n">
        <x:v>0.027</x:v>
      </x:c>
      <x:c r="D8" s="11" t="n">
        <x:v>0.718</x:v>
      </x:c>
      <x:c r="E8" s="11" t="n">
        <x:v>0.828</x:v>
      </x:c>
      <x:c r="F8" s="11" t="n">
        <x:v>1.098</x:v>
      </x:c>
      <x:c r="G8" s="11" t="n">
        <x:v>0.674</x:v>
      </x:c>
      <x:c r="H8" s="11" t="n">
        <x:v>0.094</x:v>
      </x:c>
      <x:c r="I8" s="9" t="n">
        <x:v>1658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64" customHeight="1">
      <x:c r="A1" s="6" t="str">
        <x:v>Reference</x:v>
      </x:c>
      <x:c r="B1" s="6" t="str">
        <x:v>k</x:v>
      </x:c>
      <x:c r="C1" s="6" t="str">
        <x:v>Alpha</x:v>
      </x:c>
      <x:c r="D1" s="6" t="str">
        <x:v>Beta</x:v>
      </x:c>
      <x:c r="E1" s="6" t="str">
        <x:v>Target O/E</x:v>
      </x:c>
      <x:c r="F1" s="6" t="str">
        <x:v>Slope</x:v>
      </x:c>
      <x:c r="G1" s="6" t="str">
        <x:v>AUROC</x:v>
      </x:c>
      <x:c r="H1" s="6" t="str">
        <x:v>Brier</x:v>
      </x:c>
      <x:c r="I1" s="6" t="str">
        <x:v>10% alerts</x:v>
      </x:c>
    </x:row>
    <x:row r="2" ht="30" customHeight="1">
      <x:c r="A2" s="3" t="str">
        <x:v>Canonical MAR reference</x:v>
      </x:c>
      <x:c r="B2" s="3" t="str">
        <x:v>NA</x:v>
      </x:c>
      <x:c r="C2" s="11" t="n">
        <x:v>0.207</x:v>
      </x:c>
      <x:c r="D2" s="11" t="n">
        <x:v>0.891</x:v>
      </x:c>
      <x:c r="E2" s="11" t="n">
        <x:v>1.012</x:v>
      </x:c>
      <x:c r="F2" s="11" t="n">
        <x:v>0.884</x:v>
      </x:c>
      <x:c r="G2" s="11" t="n">
        <x:v>0.674</x:v>
      </x:c>
      <x:c r="H2" s="11" t="n">
        <x:v>0.0937</x:v>
      </x:c>
      <x:c r="I2" s="9" t="n">
        <x:v>980</x:v>
      </x:c>
    </x:row>
    <x:row r="3" ht="30" customHeight="1">
      <x:c r="A3" s="7" t="str">
        <x:v>OR-completion sensitivity</x:v>
      </x:c>
      <x:c r="B3" s="12" t="n">
        <x:v>0.5</x:v>
      </x:c>
      <x:c r="C3" s="12" t="n">
        <x:v>0.207</x:v>
      </x:c>
      <x:c r="D3" s="12" t="n">
        <x:v>0.891</x:v>
      </x:c>
      <x:c r="E3" s="12" t="n">
        <x:v>0.972</x:v>
      </x:c>
      <x:c r="F3" s="12" t="n">
        <x:v>0.909</x:v>
      </x:c>
      <x:c r="G3" s="12" t="n">
        <x:v>0.678</x:v>
      </x:c>
      <x:c r="H3" s="12" t="n">
        <x:v>0.0905</x:v>
      </x:c>
      <x:c r="I3" s="10" t="n">
        <x:v>980</x:v>
      </x:c>
    </x:row>
    <x:row r="4" ht="30" customHeight="1">
      <x:c r="A4" s="3" t="str">
        <x:v>OR-completion sensitivity</x:v>
      </x:c>
      <x:c r="B4" s="11" t="n">
        <x:v>0.667</x:v>
      </x:c>
      <x:c r="C4" s="11" t="n">
        <x:v>0.207</x:v>
      </x:c>
      <x:c r="D4" s="11" t="n">
        <x:v>0.891</x:v>
      </x:c>
      <x:c r="E4" s="11" t="n">
        <x:v>0.991</x:v>
      </x:c>
      <x:c r="F4" s="11" t="n">
        <x:v>0.897</x:v>
      </x:c>
      <x:c r="G4" s="11" t="n">
        <x:v>0.675</x:v>
      </x:c>
      <x:c r="H4" s="11" t="n">
        <x:v>0.0921</x:v>
      </x:c>
      <x:c r="I4" s="9" t="n">
        <x:v>980</x:v>
      </x:c>
    </x:row>
    <x:row r="5" ht="36" customHeight="1">
      <x:c r="A5" s="7" t="str">
        <x:v>OR-completion reference, k=1</x:v>
      </x:c>
      <x:c r="B5" s="10" t="n">
        <x:v>1</x:v>
      </x:c>
      <x:c r="C5" s="12" t="n">
        <x:v>0.207</x:v>
      </x:c>
      <x:c r="D5" s="12" t="n">
        <x:v>0.891</x:v>
      </x:c>
      <x:c r="E5" s="12" t="n">
        <x:v>1.027</x:v>
      </x:c>
      <x:c r="F5" s="12" t="n">
        <x:v>0.872</x:v>
      </x:c>
      <x:c r="G5" s="12" t="n">
        <x:v>0.668</x:v>
      </x:c>
      <x:c r="H5" s="12" t="n">
        <x:v>0.0952</x:v>
      </x:c>
      <x:c r="I5" s="10" t="n">
        <x:v>980</x:v>
      </x:c>
    </x:row>
    <x:row r="6" ht="30" customHeight="1">
      <x:c r="A6" s="3" t="str">
        <x:v>OR-completion sensitivity</x:v>
      </x:c>
      <x:c r="B6" s="11" t="n">
        <x:v>1.5</x:v>
      </x:c>
      <x:c r="C6" s="11" t="n">
        <x:v>0.207</x:v>
      </x:c>
      <x:c r="D6" s="11" t="n">
        <x:v>0.891</x:v>
      </x:c>
      <x:c r="E6" s="11" t="n">
        <x:v>1.076</x:v>
      </x:c>
      <x:c r="F6" s="11" t="n">
        <x:v>0.837</x:v>
      </x:c>
      <x:c r="G6" s="11" t="n">
        <x:v>0.658</x:v>
      </x:c>
      <x:c r="H6" s="11" t="n">
        <x:v>0.0995</x:v>
      </x:c>
      <x:c r="I6" s="9" t="n">
        <x:v>980</x:v>
      </x:c>
    </x:row>
    <x:row r="7" ht="30" customHeight="1">
      <x:c r="A7" s="7" t="str">
        <x:v>OR-completion sensitivity</x:v>
      </x:c>
      <x:c r="B7" s="10" t="n">
        <x:v>2</x:v>
      </x:c>
      <x:c r="C7" s="12" t="n">
        <x:v>0.207</x:v>
      </x:c>
      <x:c r="D7" s="12" t="n">
        <x:v>0.891</x:v>
      </x:c>
      <x:c r="E7" s="12" t="n">
        <x:v>1.12</x:v>
      </x:c>
      <x:c r="F7" s="12" t="n">
        <x:v>0.804</x:v>
      </x:c>
      <x:c r="G7" s="12" t="n">
        <x:v>0.65</x:v>
      </x:c>
      <x:c r="H7" s="12" t="n">
        <x:v>0.1035</x:v>
      </x:c>
      <x:c r="I7" s="10" t="n">
        <x:v>980</x:v>
      </x:c>
    </x:row>
    <x:row r="8" ht="30" customHeight="1">
      <x:c r="A8" s="3" t="str">
        <x:v>OR-completion sensitivity</x:v>
      </x:c>
      <x:c r="B8" s="9" t="n">
        <x:v>3</x:v>
      </x:c>
      <x:c r="C8" s="11" t="n">
        <x:v>0.207</x:v>
      </x:c>
      <x:c r="D8" s="11" t="n">
        <x:v>0.891</x:v>
      </x:c>
      <x:c r="E8" s="11" t="n">
        <x:v>1.199</x:v>
      </x:c>
      <x:c r="F8" s="11" t="n">
        <x:v>0.746</x:v>
      </x:c>
      <x:c r="G8" s="11" t="n">
        <x:v>0.635</x:v>
      </x:c>
      <x:c r="H8" s="11" t="n">
        <x:v>0.1105</x:v>
      </x:c>
      <x:c r="I8" s="9" t="n">
        <x:v>980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64" customHeight="1">
      <x:c r="A1" s="6" t="str">
        <x:v>Scenario</x:v>
      </x:c>
      <x:c r="B1" s="6" t="str">
        <x:v>Metric</x:v>
      </x:c>
      <x:c r="C1" s="6" t="str">
        <x:v>Estimate</x:v>
      </x:c>
      <x:c r="D1" s="6" t="str">
        <x:v>Lower</x:v>
      </x:c>
      <x:c r="E1" s="6" t="str">
        <x:v>Upper</x:v>
      </x:c>
      <x:c r="F1" s="6" t="str">
        <x:v>Replicates</x:v>
      </x:c>
    </x:row>
    <x:row r="2" ht="30" customHeight="1">
      <x:c r="A2" s="3" t="str">
        <x:v>source; k=0.5</x:v>
      </x:c>
      <x:c r="B2" s="3" t="str">
        <x:v>update_alpha</x:v>
      </x:c>
      <x:c r="C2" s="15" t="n">
        <x:v>0.329865</x:v>
      </x:c>
      <x:c r="D2" s="15" t="n">
        <x:v>-0.147113</x:v>
      </x:c>
      <x:c r="E2" s="15" t="n">
        <x:v>0.732441</x:v>
      </x:c>
      <x:c r="F2" s="9" t="n">
        <x:v>1000</x:v>
      </x:c>
    </x:row>
    <x:row r="3" ht="30" customHeight="1">
      <x:c r="A3" s="7" t="str">
        <x:v>source; k=0.5</x:v>
      </x:c>
      <x:c r="B3" s="7" t="str">
        <x:v>update_beta</x:v>
      </x:c>
      <x:c r="C3" s="16" t="n">
        <x:v>0.917024</x:v>
      </x:c>
      <x:c r="D3" s="16" t="n">
        <x:v>0.727373</x:v>
      </x:c>
      <x:c r="E3" s="16" t="n">
        <x:v>1.086669</x:v>
      </x:c>
      <x:c r="F3" s="10" t="n">
        <x:v>1000</x:v>
      </x:c>
    </x:row>
    <x:row r="4" ht="30" customHeight="1">
      <x:c r="A4" s="3" t="str">
        <x:v>source; k=0.5</x:v>
      </x:c>
      <x:c r="B4" s="3" t="str">
        <x:v>target_oe_ratio</x:v>
      </x:c>
      <x:c r="C4" s="15" t="n">
        <x:v>1.011959</x:v>
      </x:c>
      <x:c r="D4" s="15" t="n">
        <x:v>0.866432</x:v>
      </x:c>
      <x:c r="E4" s="15" t="n">
        <x:v>1.178165</x:v>
      </x:c>
      <x:c r="F4" s="9" t="n">
        <x:v>1000</x:v>
      </x:c>
    </x:row>
    <x:row r="5" ht="30" customHeight="1">
      <x:c r="A5" s="7" t="str">
        <x:v>source; k=0.5</x:v>
      </x:c>
      <x:c r="B5" s="7" t="str">
        <x:v>target_calibration_slope</x:v>
      </x:c>
      <x:c r="C5" s="16" t="n">
        <x:v>0.891107</x:v>
      </x:c>
      <x:c r="D5" s="16" t="n">
        <x:v>0.68555</x:v>
      </x:c>
      <x:c r="E5" s="16" t="n">
        <x:v>1.155454</x:v>
      </x:c>
      <x:c r="F5" s="10" t="n">
        <x:v>1000</x:v>
      </x:c>
    </x:row>
    <x:row r="6" ht="30" customHeight="1">
      <x:c r="A6" s="3" t="str">
        <x:v>source; k=0.5</x:v>
      </x:c>
      <x:c r="B6" s="3" t="str">
        <x:v>target_auroc</x:v>
      </x:c>
      <x:c r="C6" s="15" t="n">
        <x:v>0.678409</x:v>
      </x:c>
      <x:c r="D6" s="15" t="n">
        <x:v>0.637267</x:v>
      </x:c>
      <x:c r="E6" s="15" t="n">
        <x:v>0.718217</x:v>
      </x:c>
      <x:c r="F6" s="9" t="n">
        <x:v>1000</x:v>
      </x:c>
    </x:row>
    <x:row r="7" ht="30" customHeight="1">
      <x:c r="A7" s="7" t="str">
        <x:v>source; k=0.5</x:v>
      </x:c>
      <x:c r="B7" s="7" t="str">
        <x:v>target_brier</x:v>
      </x:c>
      <x:c r="C7" s="16" t="n">
        <x:v>0.093518</x:v>
      </x:c>
      <x:c r="D7" s="16" t="n">
        <x:v>0.084312</x:v>
      </x:c>
      <x:c r="E7" s="16" t="n">
        <x:v>0.103371</x:v>
      </x:c>
      <x:c r="F7" s="10" t="n">
        <x:v>1000</x:v>
      </x:c>
    </x:row>
    <x:row r="8" ht="30" customHeight="1">
      <x:c r="A8" s="3" t="str">
        <x:v>source; k=0.5</x:v>
      </x:c>
      <x:c r="B8" s="3" t="str">
        <x:v>threshold_5_alerts</x:v>
      </x:c>
      <x:c r="C8" s="9" t="n">
        <x:v>2253</x:v>
      </x:c>
      <x:c r="D8" s="15" t="n">
        <x:v>1918.85</x:v>
      </x:c>
      <x:c r="E8" s="15" t="n">
        <x:v>2492.05</x:v>
      </x:c>
      <x:c r="F8" s="9" t="n">
        <x:v>1000</x:v>
      </x:c>
    </x:row>
    <x:row r="9" ht="36" customHeight="1">
      <x:c r="A9" s="7" t="str">
        <x:v>source; k=0.5</x:v>
      </x:c>
      <x:c r="B9" s="7" t="str">
        <x:v>threshold_5_alerts_per_1000</x:v>
      </x:c>
      <x:c r="C9" s="16" t="n">
        <x:v>870.892926</x:v>
      </x:c>
      <x:c r="D9" s="16" t="n">
        <x:v>741.72787</x:v>
      </x:c>
      <x:c r="E9" s="16" t="n">
        <x:v>963.297256</x:v>
      </x:c>
      <x:c r="F9" s="10" t="n">
        <x:v>1000</x:v>
      </x:c>
    </x:row>
    <x:row r="10" ht="30" customHeight="1">
      <x:c r="A10" s="3" t="str">
        <x:v>source; k=0.5</x:v>
      </x:c>
      <x:c r="B10" s="3" t="str">
        <x:v>threshold_10_alerts</x:v>
      </x:c>
      <x:c r="C10" s="9" t="n">
        <x:v>981</x:v>
      </x:c>
      <x:c r="D10" s="15" t="n">
        <x:v>760.975</x:v>
      </x:c>
      <x:c r="E10" s="15" t="n">
        <x:v>1244.075</x:v>
      </x:c>
      <x:c r="F10" s="9" t="n">
        <x:v>1000</x:v>
      </x:c>
    </x:row>
    <x:row r="11" ht="36" customHeight="1">
      <x:c r="A11" s="7" t="str">
        <x:v>source; k=0.5</x:v>
      </x:c>
      <x:c r="B11" s="7" t="str">
        <x:v>threshold_10_alerts_per_1000</x:v>
      </x:c>
      <x:c r="C11" s="16" t="n">
        <x:v>379.203711</x:v>
      </x:c>
      <x:c r="D11" s="16" t="n">
        <x:v>294.15346</x:v>
      </x:c>
      <x:c r="E11" s="16" t="n">
        <x:v>480.894859</x:v>
      </x:c>
      <x:c r="F11" s="10" t="n">
        <x:v>1000</x:v>
      </x:c>
    </x:row>
    <x:row r="12" ht="30" customHeight="1">
      <x:c r="A12" s="3" t="str">
        <x:v>source; k=0.5</x:v>
      </x:c>
      <x:c r="B12" s="3" t="str">
        <x:v>threshold_20_alerts</x:v>
      </x:c>
      <x:c r="C12" s="9" t="n">
        <x:v>240</x:v>
      </x:c>
      <x:c r="D12" s="9" t="n">
        <x:v>169</x:v>
      </x:c>
      <x:c r="E12" s="9" t="n">
        <x:v>316</x:v>
      </x:c>
      <x:c r="F12" s="9" t="n">
        <x:v>1000</x:v>
      </x:c>
    </x:row>
    <x:row r="13" ht="36" customHeight="1">
      <x:c r="A13" s="7" t="str">
        <x:v>source; k=0.5</x:v>
      </x:c>
      <x:c r="B13" s="7" t="str">
        <x:v>threshold_20_alerts_per_1000</x:v>
      </x:c>
      <x:c r="C13" s="16" t="n">
        <x:v>92.77155</x:v>
      </x:c>
      <x:c r="D13" s="16" t="n">
        <x:v>65.326633</x:v>
      </x:c>
      <x:c r="E13" s="16" t="n">
        <x:v>122.149208</x:v>
      </x:c>
      <x:c r="F13" s="10" t="n">
        <x:v>1000</x:v>
      </x:c>
    </x:row>
    <x:row r="14" ht="36" customHeight="1">
      <x:c r="A14" s="3" t="str">
        <x:v>source; k=0.667</x:v>
      </x:c>
      <x:c r="B14" s="3" t="str">
        <x:v>update_alpha</x:v>
      </x:c>
      <x:c r="C14" s="15" t="n">
        <x:v>0.291091</x:v>
      </x:c>
      <x:c r="D14" s="15" t="n">
        <x:v>-0.148007</x:v>
      </x:c>
      <x:c r="E14" s="15" t="n">
        <x:v>0.72919</x:v>
      </x:c>
      <x:c r="F14" s="9" t="n">
        <x:v>1000</x:v>
      </x:c>
    </x:row>
    <x:row r="15" ht="36" customHeight="1">
      <x:c r="A15" s="7" t="str">
        <x:v>source; k=0.667</x:v>
      </x:c>
      <x:c r="B15" s="7" t="str">
        <x:v>update_beta</x:v>
      </x:c>
      <x:c r="C15" s="16" t="n">
        <x:v>0.91624</x:v>
      </x:c>
      <x:c r="D15" s="16" t="n">
        <x:v>0.737522</x:v>
      </x:c>
      <x:c r="E15" s="16" t="n">
        <x:v>1.102032</x:v>
      </x:c>
      <x:c r="F15" s="10" t="n">
        <x:v>1000</x:v>
      </x:c>
    </x:row>
    <x:row r="16" ht="36" customHeight="1">
      <x:c r="A16" s="3" t="str">
        <x:v>source; k=0.667</x:v>
      </x:c>
      <x:c r="B16" s="3" t="str">
        <x:v>target_oe_ratio</x:v>
      </x:c>
      <x:c r="C16" s="15" t="n">
        <x:v>1.011301</x:v>
      </x:c>
      <x:c r="D16" s="15" t="n">
        <x:v>0.866476</x:v>
      </x:c>
      <x:c r="E16" s="15" t="n">
        <x:v>1.177575</x:v>
      </x:c>
      <x:c r="F16" s="9" t="n">
        <x:v>1000</x:v>
      </x:c>
    </x:row>
    <x:row r="17" ht="36" customHeight="1">
      <x:c r="A17" s="7" t="str">
        <x:v>source; k=0.667</x:v>
      </x:c>
      <x:c r="B17" s="7" t="str">
        <x:v>target_calibration_slope</x:v>
      </x:c>
      <x:c r="C17" s="16" t="n">
        <x:v>0.88489</x:v>
      </x:c>
      <x:c r="D17" s="16" t="n">
        <x:v>0.679458</x:v>
      </x:c>
      <x:c r="E17" s="16" t="n">
        <x:v>1.154069</x:v>
      </x:c>
      <x:c r="F17" s="10" t="n">
        <x:v>1000</x:v>
      </x:c>
    </x:row>
    <x:row r="18" ht="36" customHeight="1">
      <x:c r="A18" s="3" t="str">
        <x:v>source; k=0.667</x:v>
      </x:c>
      <x:c r="B18" s="3" t="str">
        <x:v>target_auroc</x:v>
      </x:c>
      <x:c r="C18" s="15" t="n">
        <x:v>0.675432</x:v>
      </x:c>
      <x:c r="D18" s="15" t="n">
        <x:v>0.634854</x:v>
      </x:c>
      <x:c r="E18" s="15" t="n">
        <x:v>0.716816</x:v>
      </x:c>
      <x:c r="F18" s="9" t="n">
        <x:v>1000</x:v>
      </x:c>
    </x:row>
    <x:row r="19" ht="36" customHeight="1">
      <x:c r="A19" s="7" t="str">
        <x:v>source; k=0.667</x:v>
      </x:c>
      <x:c r="B19" s="7" t="str">
        <x:v>target_brier</x:v>
      </x:c>
      <x:c r="C19" s="16" t="n">
        <x:v>0.093669</x:v>
      </x:c>
      <x:c r="D19" s="16" t="n">
        <x:v>0.084337</x:v>
      </x:c>
      <x:c r="E19" s="16" t="n">
        <x:v>0.103491</x:v>
      </x:c>
      <x:c r="F19" s="10" t="n">
        <x:v>1000</x:v>
      </x:c>
    </x:row>
    <x:row r="20" ht="36" customHeight="1">
      <x:c r="A20" s="3" t="str">
        <x:v>source; k=0.667</x:v>
      </x:c>
      <x:c r="B20" s="3" t="str">
        <x:v>threshold_5_alerts</x:v>
      </x:c>
      <x:c r="C20" s="9" t="n">
        <x:v>2299</x:v>
      </x:c>
      <x:c r="D20" s="15" t="n">
        <x:v>1951.675</x:v>
      </x:c>
      <x:c r="E20" s="15" t="n">
        <x:v>2510.05</x:v>
      </x:c>
      <x:c r="F20" s="9" t="n">
        <x:v>1000</x:v>
      </x:c>
    </x:row>
    <x:row r="21" ht="36" customHeight="1">
      <x:c r="A21" s="7" t="str">
        <x:v>source; k=0.667</x:v>
      </x:c>
      <x:c r="B21" s="7" t="str">
        <x:v>threshold_5_alerts_per_1000</x:v>
      </x:c>
      <x:c r="C21" s="16" t="n">
        <x:v>888.67414</x:v>
      </x:c>
      <x:c r="D21" s="16" t="n">
        <x:v>754.416312</x:v>
      </x:c>
      <x:c r="E21" s="16" t="n">
        <x:v>970.255122</x:v>
      </x:c>
      <x:c r="F21" s="10" t="n">
        <x:v>1000</x:v>
      </x:c>
    </x:row>
    <x:row r="22" ht="36" customHeight="1">
      <x:c r="A22" s="3" t="str">
        <x:v>source; k=0.667</x:v>
      </x:c>
      <x:c r="B22" s="3" t="str">
        <x:v>threshold_10_alerts</x:v>
      </x:c>
      <x:c r="C22" s="9" t="n">
        <x:v>974</x:v>
      </x:c>
      <x:c r="D22" s="9" t="n">
        <x:v>753</x:v>
      </x:c>
      <x:c r="E22" s="9" t="n">
        <x:v>1243</x:v>
      </x:c>
      <x:c r="F22" s="9" t="n">
        <x:v>1000</x:v>
      </x:c>
    </x:row>
    <x:row r="23" ht="36" customHeight="1">
      <x:c r="A23" s="7" t="str">
        <x:v>source; k=0.667</x:v>
      </x:c>
      <x:c r="B23" s="7" t="str">
        <x:v>threshold_10_alerts_per_1000</x:v>
      </x:c>
      <x:c r="C23" s="16" t="n">
        <x:v>376.497874</x:v>
      </x:c>
      <x:c r="D23" s="16" t="n">
        <x:v>291.070738</x:v>
      </x:c>
      <x:c r="E23" s="16" t="n">
        <x:v>480.47932</x:v>
      </x:c>
      <x:c r="F23" s="10" t="n">
        <x:v>1000</x:v>
      </x:c>
    </x:row>
    <x:row r="24" ht="36" customHeight="1">
      <x:c r="A24" s="3" t="str">
        <x:v>source; k=0.667</x:v>
      </x:c>
      <x:c r="B24" s="3" t="str">
        <x:v>threshold_20_alerts</x:v>
      </x:c>
      <x:c r="C24" s="9" t="n">
        <x:v>226</x:v>
      </x:c>
      <x:c r="D24" s="9" t="n">
        <x:v>168</x:v>
      </x:c>
      <x:c r="E24" s="15" t="n">
        <x:v>305.05</x:v>
      </x:c>
      <x:c r="F24" s="9" t="n">
        <x:v>1000</x:v>
      </x:c>
    </x:row>
    <x:row r="25" ht="36" customHeight="1">
      <x:c r="A25" s="7" t="str">
        <x:v>source; k=0.667</x:v>
      </x:c>
      <x:c r="B25" s="7" t="str">
        <x:v>threshold_20_alerts_per_1000</x:v>
      </x:c>
      <x:c r="C25" s="16" t="n">
        <x:v>87.359876</x:v>
      </x:c>
      <x:c r="D25" s="16" t="n">
        <x:v>64.940085</x:v>
      </x:c>
      <x:c r="E25" s="16" t="n">
        <x:v>117.916506</x:v>
      </x:c>
      <x:c r="F25" s="10" t="n">
        <x:v>1000</x:v>
      </x:c>
    </x:row>
    <x:row r="26" ht="30" customHeight="1">
      <x:c r="A26" s="3" t="str">
        <x:v>source; k=1</x:v>
      </x:c>
      <x:c r="B26" s="3" t="str">
        <x:v>update_alpha</x:v>
      </x:c>
      <x:c r="C26" s="15" t="n">
        <x:v>0.286381</x:v>
      </x:c>
      <x:c r="D26" s="15" t="n">
        <x:v>-0.172564</x:v>
      </x:c>
      <x:c r="E26" s="15" t="n">
        <x:v>0.739423</x:v>
      </x:c>
      <x:c r="F26" s="9" t="n">
        <x:v>1000</x:v>
      </x:c>
    </x:row>
    <x:row r="27" ht="30" customHeight="1">
      <x:c r="A27" s="7" t="str">
        <x:v>source; k=1</x:v>
      </x:c>
      <x:c r="B27" s="7" t="str">
        <x:v>update_beta</x:v>
      </x:c>
      <x:c r="C27" s="16" t="n">
        <x:v>0.937405</x:v>
      </x:c>
      <x:c r="D27" s="16" t="n">
        <x:v>0.747126</x:v>
      </x:c>
      <x:c r="E27" s="16" t="n">
        <x:v>1.131146</x:v>
      </x:c>
      <x:c r="F27" s="10" t="n">
        <x:v>1000</x:v>
      </x:c>
    </x:row>
    <x:row r="28" ht="30" customHeight="1">
      <x:c r="A28" s="3" t="str">
        <x:v>source; k=1</x:v>
      </x:c>
      <x:c r="B28" s="3" t="str">
        <x:v>target_oe_ratio</x:v>
      </x:c>
      <x:c r="C28" s="15" t="n">
        <x:v>1.010531</x:v>
      </x:c>
      <x:c r="D28" s="15" t="n">
        <x:v>0.86597</x:v>
      </x:c>
      <x:c r="E28" s="15" t="n">
        <x:v>1.1761</x:v>
      </x:c>
      <x:c r="F28" s="9" t="n">
        <x:v>1000</x:v>
      </x:c>
    </x:row>
    <x:row r="29" ht="30" customHeight="1">
      <x:c r="A29" s="7" t="str">
        <x:v>source; k=1</x:v>
      </x:c>
      <x:c r="B29" s="7" t="str">
        <x:v>target_calibration_slope</x:v>
      </x:c>
      <x:c r="C29" s="16" t="n">
        <x:v>0.881029</x:v>
      </x:c>
      <x:c r="D29" s="16" t="n">
        <x:v>0.666965</x:v>
      </x:c>
      <x:c r="E29" s="16" t="n">
        <x:v>1.144189</x:v>
      </x:c>
      <x:c r="F29" s="10" t="n">
        <x:v>1000</x:v>
      </x:c>
    </x:row>
    <x:row r="30" ht="30" customHeight="1">
      <x:c r="A30" s="3" t="str">
        <x:v>source; k=1</x:v>
      </x:c>
      <x:c r="B30" s="3" t="str">
        <x:v>target_auroc</x:v>
      </x:c>
      <x:c r="C30" s="15" t="n">
        <x:v>0.671202</x:v>
      </x:c>
      <x:c r="D30" s="15" t="n">
        <x:v>0.628173</x:v>
      </x:c>
      <x:c r="E30" s="15" t="n">
        <x:v>0.712352</x:v>
      </x:c>
      <x:c r="F30" s="9" t="n">
        <x:v>1000</x:v>
      </x:c>
    </x:row>
    <x:row r="31" ht="30" customHeight="1">
      <x:c r="A31" s="7" t="str">
        <x:v>source; k=1</x:v>
      </x:c>
      <x:c r="B31" s="7" t="str">
        <x:v>target_brier</x:v>
      </x:c>
      <x:c r="C31" s="16" t="n">
        <x:v>0.093825</x:v>
      </x:c>
      <x:c r="D31" s="16" t="n">
        <x:v>0.084566</x:v>
      </x:c>
      <x:c r="E31" s="16" t="n">
        <x:v>0.103579</x:v>
      </x:c>
      <x:c r="F31" s="10" t="n">
        <x:v>1000</x:v>
      </x:c>
    </x:row>
    <x:row r="32" ht="30" customHeight="1">
      <x:c r="A32" s="3" t="str">
        <x:v>source; k=1</x:v>
      </x:c>
      <x:c r="B32" s="3" t="str">
        <x:v>threshold_5_alerts</x:v>
      </x:c>
      <x:c r="C32" s="9" t="n">
        <x:v>2345</x:v>
      </x:c>
      <x:c r="D32" s="15" t="n">
        <x:v>1998.975</x:v>
      </x:c>
      <x:c r="E32" s="15" t="n">
        <x:v>2542.05</x:v>
      </x:c>
      <x:c r="F32" s="9" t="n">
        <x:v>1000</x:v>
      </x:c>
    </x:row>
    <x:row r="33" ht="36" customHeight="1">
      <x:c r="A33" s="7" t="str">
        <x:v>source; k=1</x:v>
      </x:c>
      <x:c r="B33" s="7" t="str">
        <x:v>threshold_5_alerts_per_1000</x:v>
      </x:c>
      <x:c r="C33" s="16" t="n">
        <x:v>906.455354</x:v>
      </x:c>
      <x:c r="D33" s="16" t="n">
        <x:v>772.700039</x:v>
      </x:c>
      <x:c r="E33" s="16" t="n">
        <x:v>982.624662</x:v>
      </x:c>
      <x:c r="F33" s="10" t="n">
        <x:v>1000</x:v>
      </x:c>
    </x:row>
    <x:row r="34" ht="30" customHeight="1">
      <x:c r="A34" s="3" t="str">
        <x:v>source; k=1</x:v>
      </x:c>
      <x:c r="B34" s="3" t="str">
        <x:v>threshold_10_alerts</x:v>
      </x:c>
      <x:c r="C34" s="9" t="n">
        <x:v>957</x:v>
      </x:c>
      <x:c r="D34" s="15" t="n">
        <x:v>734.975</x:v>
      </x:c>
      <x:c r="E34" s="15" t="n">
        <x:v>1247.05</x:v>
      </x:c>
      <x:c r="F34" s="9" t="n">
        <x:v>1000</x:v>
      </x:c>
    </x:row>
    <x:row r="35" ht="36" customHeight="1">
      <x:c r="A35" s="7" t="str">
        <x:v>source; k=1</x:v>
      </x:c>
      <x:c r="B35" s="7" t="str">
        <x:v>threshold_10_alerts_per_1000</x:v>
      </x:c>
      <x:c r="C35" s="16" t="n">
        <x:v>369.926556</x:v>
      </x:c>
      <x:c r="D35" s="16" t="n">
        <x:v>284.103208</x:v>
      </x:c>
      <x:c r="E35" s="16" t="n">
        <x:v>482.04484</x:v>
      </x:c>
      <x:c r="F35" s="10" t="n">
        <x:v>1000</x:v>
      </x:c>
    </x:row>
    <x:row r="36" ht="30" customHeight="1">
      <x:c r="A36" s="3" t="str">
        <x:v>source; k=1</x:v>
      </x:c>
      <x:c r="B36" s="3" t="str">
        <x:v>threshold_20_alerts</x:v>
      </x:c>
      <x:c r="C36" s="9" t="n">
        <x:v>222</x:v>
      </x:c>
      <x:c r="D36" s="9" t="n">
        <x:v>165</x:v>
      </x:c>
      <x:c r="E36" s="15" t="n">
        <x:v>292.025</x:v>
      </x:c>
      <x:c r="F36" s="9" t="n">
        <x:v>1000</x:v>
      </x:c>
    </x:row>
    <x:row r="37" ht="36" customHeight="1">
      <x:c r="A37" s="7" t="str">
        <x:v>source; k=1</x:v>
      </x:c>
      <x:c r="B37" s="7" t="str">
        <x:v>threshold_20_alerts_per_1000</x:v>
      </x:c>
      <x:c r="C37" s="16" t="n">
        <x:v>85.813684</x:v>
      </x:c>
      <x:c r="D37" s="16" t="n">
        <x:v>63.780441</x:v>
      </x:c>
      <x:c r="E37" s="16" t="n">
        <x:v>112.881716</x:v>
      </x:c>
      <x:c r="F37" s="10" t="n">
        <x:v>1000</x:v>
      </x:c>
    </x:row>
    <x:row r="38" ht="30" customHeight="1">
      <x:c r="A38" s="3" t="str">
        <x:v>source; k=1.5</x:v>
      </x:c>
      <x:c r="B38" s="3" t="str">
        <x:v>update_alpha</x:v>
      </x:c>
      <x:c r="C38" s="15" t="n">
        <x:v>0.282488</x:v>
      </x:c>
      <x:c r="D38" s="15" t="n">
        <x:v>-0.216238</x:v>
      </x:c>
      <x:c r="E38" s="15" t="n">
        <x:v>0.735492</x:v>
      </x:c>
      <x:c r="F38" s="9" t="n">
        <x:v>1000</x:v>
      </x:c>
    </x:row>
    <x:row r="39" ht="30" customHeight="1">
      <x:c r="A39" s="7" t="str">
        <x:v>source; k=1.5</x:v>
      </x:c>
      <x:c r="B39" s="7" t="str">
        <x:v>update_beta</x:v>
      </x:c>
      <x:c r="C39" s="16" t="n">
        <x:v>0.970335</x:v>
      </x:c>
      <x:c r="D39" s="16" t="n">
        <x:v>0.755464</x:v>
      </x:c>
      <x:c r="E39" s="16" t="n">
        <x:v>1.158327</x:v>
      </x:c>
      <x:c r="F39" s="10" t="n">
        <x:v>1000</x:v>
      </x:c>
    </x:row>
    <x:row r="40" ht="30" customHeight="1">
      <x:c r="A40" s="3" t="str">
        <x:v>source; k=1.5</x:v>
      </x:c>
      <x:c r="B40" s="3" t="str">
        <x:v>target_oe_ratio</x:v>
      </x:c>
      <x:c r="C40" s="15" t="n">
        <x:v>1.008812</x:v>
      </x:c>
      <x:c r="D40" s="15" t="n">
        <x:v>0.861916</x:v>
      </x:c>
      <x:c r="E40" s="15" t="n">
        <x:v>1.173981</x:v>
      </x:c>
      <x:c r="F40" s="9" t="n">
        <x:v>1000</x:v>
      </x:c>
    </x:row>
    <x:row r="41" ht="30" customHeight="1">
      <x:c r="A41" s="7" t="str">
        <x:v>source; k=1.5</x:v>
      </x:c>
      <x:c r="B41" s="7" t="str">
        <x:v>target_calibration_slope</x:v>
      </x:c>
      <x:c r="C41" s="16" t="n">
        <x:v>0.872215</x:v>
      </x:c>
      <x:c r="D41" s="16" t="n">
        <x:v>0.654846</x:v>
      </x:c>
      <x:c r="E41" s="16" t="n">
        <x:v>1.134503</x:v>
      </x:c>
      <x:c r="F41" s="10" t="n">
        <x:v>1000</x:v>
      </x:c>
    </x:row>
    <x:row r="42" ht="30" customHeight="1">
      <x:c r="A42" s="3" t="str">
        <x:v>source; k=1.5</x:v>
      </x:c>
      <x:c r="B42" s="3" t="str">
        <x:v>target_auroc</x:v>
      </x:c>
      <x:c r="C42" s="15" t="n">
        <x:v>0.665461</x:v>
      </x:c>
      <x:c r="D42" s="15" t="n">
        <x:v>0.616647</x:v>
      </x:c>
      <x:c r="E42" s="15" t="n">
        <x:v>0.703651</x:v>
      </x:c>
      <x:c r="F42" s="9" t="n">
        <x:v>1000</x:v>
      </x:c>
    </x:row>
    <x:row r="43" ht="30" customHeight="1">
      <x:c r="A43" s="7" t="str">
        <x:v>source; k=1.5</x:v>
      </x:c>
      <x:c r="B43" s="7" t="str">
        <x:v>target_brier</x:v>
      </x:c>
      <x:c r="C43" s="16" t="n">
        <x:v>0.094017</x:v>
      </x:c>
      <x:c r="D43" s="16" t="n">
        <x:v>0.08487</x:v>
      </x:c>
      <x:c r="E43" s="16" t="n">
        <x:v>0.103896</x:v>
      </x:c>
      <x:c r="F43" s="10" t="n">
        <x:v>1000</x:v>
      </x:c>
    </x:row>
    <x:row r="44" ht="30" customHeight="1">
      <x:c r="A44" s="3" t="str">
        <x:v>source; k=1.5</x:v>
      </x:c>
      <x:c r="B44" s="3" t="str">
        <x:v>threshold_5_alerts</x:v>
      </x:c>
      <x:c r="C44" s="9" t="n">
        <x:v>2398</x:v>
      </x:c>
      <x:c r="D44" s="15" t="n">
        <x:v>2080.925</x:v>
      </x:c>
      <x:c r="E44" s="15" t="n">
        <x:v>2573.05</x:v>
      </x:c>
      <x:c r="F44" s="9" t="n">
        <x:v>1000</x:v>
      </x:c>
    </x:row>
    <x:row r="45" ht="36" customHeight="1">
      <x:c r="A45" s="7" t="str">
        <x:v>source; k=1.5</x:v>
      </x:c>
      <x:c r="B45" s="7" t="str">
        <x:v>threshold_5_alerts_per_1000</x:v>
      </x:c>
      <x:c r="C45" s="16" t="n">
        <x:v>926.942404</x:v>
      </x:c>
      <x:c r="D45" s="16" t="n">
        <x:v>804.377658</x:v>
      </x:c>
      <x:c r="E45" s="16" t="n">
        <x:v>994.607654</x:v>
      </x:c>
      <x:c r="F45" s="10" t="n">
        <x:v>1000</x:v>
      </x:c>
    </x:row>
    <x:row r="46" ht="30" customHeight="1">
      <x:c r="A46" s="3" t="str">
        <x:v>source; k=1.5</x:v>
      </x:c>
      <x:c r="B46" s="3" t="str">
        <x:v>threshold_10_alerts</x:v>
      </x:c>
      <x:c r="C46" s="9" t="n">
        <x:v>942</x:v>
      </x:c>
      <x:c r="D46" s="15" t="n">
        <x:v>695.975</x:v>
      </x:c>
      <x:c r="E46" s="15" t="n">
        <x:v>1268.125</x:v>
      </x:c>
      <x:c r="F46" s="9" t="n">
        <x:v>1000</x:v>
      </x:c>
    </x:row>
    <x:row r="47" ht="36" customHeight="1">
      <x:c r="A47" s="7" t="str">
        <x:v>source; k=1.5</x:v>
      </x:c>
      <x:c r="B47" s="7" t="str">
        <x:v>threshold_10_alerts_per_1000</x:v>
      </x:c>
      <x:c r="C47" s="16" t="n">
        <x:v>364.128334</x:v>
      </x:c>
      <x:c r="D47" s="16" t="n">
        <x:v>269.027831</x:v>
      </x:c>
      <x:c r="E47" s="16" t="n">
        <x:v>490.191341</x:v>
      </x:c>
      <x:c r="F47" s="10" t="n">
        <x:v>1000</x:v>
      </x:c>
    </x:row>
    <x:row r="48" ht="30" customHeight="1">
      <x:c r="A48" s="3" t="str">
        <x:v>source; k=1.5</x:v>
      </x:c>
      <x:c r="B48" s="3" t="str">
        <x:v>threshold_20_alerts</x:v>
      </x:c>
      <x:c r="C48" s="9" t="n">
        <x:v>212</x:v>
      </x:c>
      <x:c r="D48" s="9" t="n">
        <x:v>159</x:v>
      </x:c>
      <x:c r="E48" s="9" t="n">
        <x:v>278</x:v>
      </x:c>
      <x:c r="F48" s="9" t="n">
        <x:v>1000</x:v>
      </x:c>
    </x:row>
    <x:row r="49" ht="36" customHeight="1">
      <x:c r="A49" s="7" t="str">
        <x:v>source; k=1.5</x:v>
      </x:c>
      <x:c r="B49" s="7" t="str">
        <x:v>threshold_20_alerts_per_1000</x:v>
      </x:c>
      <x:c r="C49" s="16" t="n">
        <x:v>81.948203</x:v>
      </x:c>
      <x:c r="D49" s="16" t="n">
        <x:v>61.461152</x:v>
      </x:c>
      <x:c r="E49" s="16" t="n">
        <x:v>107.460379</x:v>
      </x:c>
      <x:c r="F49" s="10" t="n">
        <x:v>1000</x:v>
      </x:c>
    </x:row>
    <x:row r="50" ht="30" customHeight="1">
      <x:c r="A50" s="3" t="str">
        <x:v>source; k=2</x:v>
      </x:c>
      <x:c r="B50" s="3" t="str">
        <x:v>update_alpha</x:v>
      </x:c>
      <x:c r="C50" s="15" t="n">
        <x:v>0.246184</x:v>
      </x:c>
      <x:c r="D50" s="15" t="n">
        <x:v>-0.309978</x:v>
      </x:c>
      <x:c r="E50" s="15" t="n">
        <x:v>0.678243</x:v>
      </x:c>
      <x:c r="F50" s="9" t="n">
        <x:v>1000</x:v>
      </x:c>
    </x:row>
    <x:row r="51" ht="30" customHeight="1">
      <x:c r="A51" s="7" t="str">
        <x:v>source; k=2</x:v>
      </x:c>
      <x:c r="B51" s="7" t="str">
        <x:v>update_beta</x:v>
      </x:c>
      <x:c r="C51" s="16" t="n">
        <x:v>0.983587</x:v>
      </x:c>
      <x:c r="D51" s="16" t="n">
        <x:v>0.746576</x:v>
      </x:c>
      <x:c r="E51" s="16" t="n">
        <x:v>1.171103</x:v>
      </x:c>
      <x:c r="F51" s="10" t="n">
        <x:v>1000</x:v>
      </x:c>
    </x:row>
    <x:row r="52" ht="30" customHeight="1">
      <x:c r="A52" s="3" t="str">
        <x:v>source; k=2</x:v>
      </x:c>
      <x:c r="B52" s="3" t="str">
        <x:v>target_oe_ratio</x:v>
      </x:c>
      <x:c r="C52" s="15" t="n">
        <x:v>1.007407</x:v>
      </x:c>
      <x:c r="D52" s="15" t="n">
        <x:v>0.859283</x:v>
      </x:c>
      <x:c r="E52" s="15" t="n">
        <x:v>1.17198</x:v>
      </x:c>
      <x:c r="F52" s="9" t="n">
        <x:v>1000</x:v>
      </x:c>
    </x:row>
    <x:row r="53" ht="30" customHeight="1">
      <x:c r="A53" s="7" t="str">
        <x:v>source; k=2</x:v>
      </x:c>
      <x:c r="B53" s="7" t="str">
        <x:v>target_calibration_slope</x:v>
      </x:c>
      <x:c r="C53" s="16" t="n">
        <x:v>0.867069</x:v>
      </x:c>
      <x:c r="D53" s="16" t="n">
        <x:v>0.644099</x:v>
      </x:c>
      <x:c r="E53" s="16" t="n">
        <x:v>1.14027</x:v>
      </x:c>
      <x:c r="F53" s="10" t="n">
        <x:v>1000</x:v>
      </x:c>
    </x:row>
    <x:row r="54" ht="30" customHeight="1">
      <x:c r="A54" s="3" t="str">
        <x:v>source; k=2</x:v>
      </x:c>
      <x:c r="B54" s="3" t="str">
        <x:v>target_auroc</x:v>
      </x:c>
      <x:c r="C54" s="15" t="n">
        <x:v>0.655828</x:v>
      </x:c>
      <x:c r="D54" s="15" t="n">
        <x:v>0.606213</x:v>
      </x:c>
      <x:c r="E54" s="15" t="n">
        <x:v>0.694981</x:v>
      </x:c>
      <x:c r="F54" s="9" t="n">
        <x:v>1000</x:v>
      </x:c>
    </x:row>
    <x:row r="55" ht="30" customHeight="1">
      <x:c r="A55" s="7" t="str">
        <x:v>source; k=2</x:v>
      </x:c>
      <x:c r="B55" s="7" t="str">
        <x:v>target_brier</x:v>
      </x:c>
      <x:c r="C55" s="16" t="n">
        <x:v>0.094273</x:v>
      </x:c>
      <x:c r="D55" s="16" t="n">
        <x:v>0.085094</x:v>
      </x:c>
      <x:c r="E55" s="16" t="n">
        <x:v>0.104226</x:v>
      </x:c>
      <x:c r="F55" s="10" t="n">
        <x:v>1000</x:v>
      </x:c>
    </x:row>
    <x:row r="56" ht="30" customHeight="1">
      <x:c r="A56" s="3" t="str">
        <x:v>source; k=2</x:v>
      </x:c>
      <x:c r="B56" s="3" t="str">
        <x:v>threshold_5_alerts</x:v>
      </x:c>
      <x:c r="C56" s="9" t="n">
        <x:v>2462</x:v>
      </x:c>
      <x:c r="D56" s="9" t="n">
        <x:v>2162</x:v>
      </x:c>
      <x:c r="E56" s="9" t="n">
        <x:v>2587</x:v>
      </x:c>
      <x:c r="F56" s="9" t="n">
        <x:v>1000</x:v>
      </x:c>
    </x:row>
    <x:row r="57" ht="36" customHeight="1">
      <x:c r="A57" s="7" t="str">
        <x:v>source; k=2</x:v>
      </x:c>
      <x:c r="B57" s="7" t="str">
        <x:v>threshold_5_alerts_per_1000</x:v>
      </x:c>
      <x:c r="C57" s="16" t="n">
        <x:v>951.681484</x:v>
      </x:c>
      <x:c r="D57" s="16" t="n">
        <x:v>835.717047</x:v>
      </x:c>
      <x:c r="E57" s="10" t="n">
        <x:v>1000</x:v>
      </x:c>
      <x:c r="F57" s="10" t="n">
        <x:v>1000</x:v>
      </x:c>
    </x:row>
    <x:row r="58" ht="30" customHeight="1">
      <x:c r="A58" s="3" t="str">
        <x:v>source; k=2</x:v>
      </x:c>
      <x:c r="B58" s="3" t="str">
        <x:v>threshold_10_alerts</x:v>
      </x:c>
      <x:c r="C58" s="9" t="n">
        <x:v>963</x:v>
      </x:c>
      <x:c r="D58" s="15" t="n">
        <x:v>673.95</x:v>
      </x:c>
      <x:c r="E58" s="15" t="n">
        <x:v>1307.2</x:v>
      </x:c>
      <x:c r="F58" s="9" t="n">
        <x:v>1000</x:v>
      </x:c>
    </x:row>
    <x:row r="59" ht="36" customHeight="1">
      <x:c r="A59" s="7" t="str">
        <x:v>source; k=2</x:v>
      </x:c>
      <x:c r="B59" s="7" t="str">
        <x:v>threshold_10_alerts_per_1000</x:v>
      </x:c>
      <x:c r="C59" s="16" t="n">
        <x:v>372.245845</x:v>
      </x:c>
      <x:c r="D59" s="16" t="n">
        <x:v>260.514109</x:v>
      </x:c>
      <x:c r="E59" s="16" t="n">
        <x:v>505.295709</x:v>
      </x:c>
      <x:c r="F59" s="10" t="n">
        <x:v>1000</x:v>
      </x:c>
    </x:row>
    <x:row r="60" ht="30" customHeight="1">
      <x:c r="A60" s="3" t="str">
        <x:v>source; k=2</x:v>
      </x:c>
      <x:c r="B60" s="3" t="str">
        <x:v>threshold_20_alerts</x:v>
      </x:c>
      <x:c r="C60" s="9" t="n">
        <x:v>206</x:v>
      </x:c>
      <x:c r="D60" s="15" t="n">
        <x:v>153.975</x:v>
      </x:c>
      <x:c r="E60" s="9" t="n">
        <x:v>265</x:v>
      </x:c>
      <x:c r="F60" s="9" t="n">
        <x:v>1000</x:v>
      </x:c>
    </x:row>
    <x:row r="61" ht="36" customHeight="1">
      <x:c r="A61" s="7" t="str">
        <x:v>source; k=2</x:v>
      </x:c>
      <x:c r="B61" s="7" t="str">
        <x:v>threshold_20_alerts_per_1000</x:v>
      </x:c>
      <x:c r="C61" s="16" t="n">
        <x:v>79.628914</x:v>
      </x:c>
      <x:c r="D61" s="16" t="n">
        <x:v>59.518748</x:v>
      </x:c>
      <x:c r="E61" s="16" t="n">
        <x:v>102.435253</x:v>
      </x:c>
      <x:c r="F61" s="10" t="n">
        <x:v>1000</x:v>
      </x:c>
    </x:row>
    <x:row r="62" ht="30" customHeight="1">
      <x:c r="A62" s="3" t="str">
        <x:v>source; k=3</x:v>
      </x:c>
      <x:c r="B62" s="3" t="str">
        <x:v>update_alpha</x:v>
      </x:c>
      <x:c r="C62" s="15" t="n">
        <x:v>0.08841</x:v>
      </x:c>
      <x:c r="D62" s="15" t="n">
        <x:v>-0.428256</x:v>
      </x:c>
      <x:c r="E62" s="15" t="n">
        <x:v>0.562547</x:v>
      </x:c>
      <x:c r="F62" s="9" t="n">
        <x:v>1000</x:v>
      </x:c>
    </x:row>
    <x:row r="63" ht="30" customHeight="1">
      <x:c r="A63" s="7" t="str">
        <x:v>source; k=3</x:v>
      </x:c>
      <x:c r="B63" s="7" t="str">
        <x:v>update_beta</x:v>
      </x:c>
      <x:c r="C63" s="16" t="n">
        <x:v>0.96308</x:v>
      </x:c>
      <x:c r="D63" s="16" t="n">
        <x:v>0.731078</x:v>
      </x:c>
      <x:c r="E63" s="16" t="n">
        <x:v>1.177718</x:v>
      </x:c>
      <x:c r="F63" s="10" t="n">
        <x:v>1000</x:v>
      </x:c>
    </x:row>
    <x:row r="64" ht="30" customHeight="1">
      <x:c r="A64" s="3" t="str">
        <x:v>source; k=3</x:v>
      </x:c>
      <x:c r="B64" s="3" t="str">
        <x:v>target_oe_ratio</x:v>
      </x:c>
      <x:c r="C64" s="15" t="n">
        <x:v>1.004227</x:v>
      </x:c>
      <x:c r="D64" s="15" t="n">
        <x:v>0.857574</x:v>
      </x:c>
      <x:c r="E64" s="15" t="n">
        <x:v>1.171178</x:v>
      </x:c>
      <x:c r="F64" s="9" t="n">
        <x:v>1000</x:v>
      </x:c>
    </x:row>
    <x:row r="65" ht="30" customHeight="1">
      <x:c r="A65" s="7" t="str">
        <x:v>source; k=3</x:v>
      </x:c>
      <x:c r="B65" s="7" t="str">
        <x:v>target_calibration_slope</x:v>
      </x:c>
      <x:c r="C65" s="16" t="n">
        <x:v>0.850147</x:v>
      </x:c>
      <x:c r="D65" s="16" t="n">
        <x:v>0.623144</x:v>
      </x:c>
      <x:c r="E65" s="16" t="n">
        <x:v>1.146993</x:v>
      </x:c>
      <x:c r="F65" s="10" t="n">
        <x:v>1000</x:v>
      </x:c>
    </x:row>
    <x:row r="66" ht="30" customHeight="1">
      <x:c r="A66" s="3" t="str">
        <x:v>source; k=3</x:v>
      </x:c>
      <x:c r="B66" s="3" t="str">
        <x:v>target_auroc</x:v>
      </x:c>
      <x:c r="C66" s="15" t="n">
        <x:v>0.633869</x:v>
      </x:c>
      <x:c r="D66" s="15" t="n">
        <x:v>0.581437</x:v>
      </x:c>
      <x:c r="E66" s="15" t="n">
        <x:v>0.677486</x:v>
      </x:c>
      <x:c r="F66" s="9" t="n">
        <x:v>1000</x:v>
      </x:c>
    </x:row>
    <x:row r="67" ht="30" customHeight="1">
      <x:c r="A67" s="7" t="str">
        <x:v>source; k=3</x:v>
      </x:c>
      <x:c r="B67" s="7" t="str">
        <x:v>target_brier</x:v>
      </x:c>
      <x:c r="C67" s="16" t="n">
        <x:v>0.094859</x:v>
      </x:c>
      <x:c r="D67" s="16" t="n">
        <x:v>0.085476</x:v>
      </x:c>
      <x:c r="E67" s="16" t="n">
        <x:v>0.104607</x:v>
      </x:c>
      <x:c r="F67" s="10" t="n">
        <x:v>1000</x:v>
      </x:c>
    </x:row>
    <x:row r="68" ht="30" customHeight="1">
      <x:c r="A68" s="3" t="str">
        <x:v>source; k=3</x:v>
      </x:c>
      <x:c r="B68" s="3" t="str">
        <x:v>threshold_5_alerts</x:v>
      </x:c>
      <x:c r="C68" s="9" t="n">
        <x:v>2550</x:v>
      </x:c>
      <x:c r="D68" s="15" t="n">
        <x:v>2281.775</x:v>
      </x:c>
      <x:c r="E68" s="9" t="n">
        <x:v>2587</x:v>
      </x:c>
      <x:c r="F68" s="9" t="n">
        <x:v>1000</x:v>
      </x:c>
    </x:row>
    <x:row r="69" ht="36" customHeight="1">
      <x:c r="A69" s="7" t="str">
        <x:v>source; k=3</x:v>
      </x:c>
      <x:c r="B69" s="7" t="str">
        <x:v>threshold_5_alerts_per_1000</x:v>
      </x:c>
      <x:c r="C69" s="16" t="n">
        <x:v>985.697719</x:v>
      </x:c>
      <x:c r="D69" s="16" t="n">
        <x:v>882.015848</x:v>
      </x:c>
      <x:c r="E69" s="10" t="n">
        <x:v>1000</x:v>
      </x:c>
      <x:c r="F69" s="10" t="n">
        <x:v>1000</x:v>
      </x:c>
    </x:row>
    <x:row r="70" ht="30" customHeight="1">
      <x:c r="A70" s="3" t="str">
        <x:v>source; k=3</x:v>
      </x:c>
      <x:c r="B70" s="3" t="str">
        <x:v>threshold_10_alerts</x:v>
      </x:c>
      <x:c r="C70" s="9" t="n">
        <x:v>994</x:v>
      </x:c>
      <x:c r="D70" s="9" t="n">
        <x:v>640</x:v>
      </x:c>
      <x:c r="E70" s="15" t="n">
        <x:v>1369.125</x:v>
      </x:c>
      <x:c r="F70" s="9" t="n">
        <x:v>1000</x:v>
      </x:c>
    </x:row>
    <x:row r="71" ht="36" customHeight="1">
      <x:c r="A71" s="7" t="str">
        <x:v>source; k=3</x:v>
      </x:c>
      <x:c r="B71" s="7" t="str">
        <x:v>threshold_10_alerts_per_1000</x:v>
      </x:c>
      <x:c r="C71" s="16" t="n">
        <x:v>384.228836</x:v>
      </x:c>
      <x:c r="D71" s="16" t="n">
        <x:v>247.3908</x:v>
      </x:c>
      <x:c r="E71" s="16" t="n">
        <x:v>529.232702</x:v>
      </x:c>
      <x:c r="F71" s="10" t="n">
        <x:v>1000</x:v>
      </x:c>
    </x:row>
    <x:row r="72" ht="30" customHeight="1">
      <x:c r="A72" s="3" t="str">
        <x:v>source; k=3</x:v>
      </x:c>
      <x:c r="B72" s="3" t="str">
        <x:v>threshold_20_alerts</x:v>
      </x:c>
      <x:c r="C72" s="9" t="n">
        <x:v>198</x:v>
      </x:c>
      <x:c r="D72" s="9" t="n">
        <x:v>146</x:v>
      </x:c>
      <x:c r="E72" s="15" t="n">
        <x:v>250.025</x:v>
      </x:c>
      <x:c r="F72" s="9" t="n">
        <x:v>1000</x:v>
      </x:c>
    </x:row>
    <x:row r="73" ht="36" customHeight="1">
      <x:c r="A73" s="7" t="str">
        <x:v>source; k=3</x:v>
      </x:c>
      <x:c r="B73" s="7" t="str">
        <x:v>threshold_20_alerts_per_1000</x:v>
      </x:c>
      <x:c r="C73" s="16" t="n">
        <x:v>76.536529</x:v>
      </x:c>
      <x:c r="D73" s="16" t="n">
        <x:v>56.436026</x:v>
      </x:c>
      <x:c r="E73" s="16" t="n">
        <x:v>96.646695</x:v>
      </x:c>
      <x:c r="F73" s="10" t="n">
        <x:v>1000</x:v>
      </x:c>
    </x:row>
    <x:row r="74" ht="30" customHeight="1">
      <x:c r="A74" s="3" t="str">
        <x:v>update; k=0.5</x:v>
      </x:c>
      <x:c r="B74" s="3" t="str">
        <x:v>update_alpha</x:v>
      </x:c>
      <x:c r="C74" s="15" t="n">
        <x:v>0.149926</x:v>
      </x:c>
      <x:c r="D74" s="15" t="n">
        <x:v>-0.293076</x:v>
      </x:c>
      <x:c r="E74" s="15" t="n">
        <x:v>0.559673</x:v>
      </x:c>
      <x:c r="F74" s="9" t="n">
        <x:v>1000</x:v>
      </x:c>
    </x:row>
    <x:row r="75" ht="30" customHeight="1">
      <x:c r="A75" s="7" t="str">
        <x:v>update; k=0.5</x:v>
      </x:c>
      <x:c r="B75" s="7" t="str">
        <x:v>update_beta</x:v>
      </x:c>
      <x:c r="C75" s="16" t="n">
        <x:v>0.891544</x:v>
      </x:c>
      <x:c r="D75" s="16" t="n">
        <x:v>0.719607</x:v>
      </x:c>
      <x:c r="E75" s="16" t="n">
        <x:v>1.067146</x:v>
      </x:c>
      <x:c r="F75" s="10" t="n">
        <x:v>1000</x:v>
      </x:c>
    </x:row>
    <x:row r="76" ht="30" customHeight="1">
      <x:c r="A76" s="3" t="str">
        <x:v>update; k=0.5</x:v>
      </x:c>
      <x:c r="B76" s="3" t="str">
        <x:v>target_oe_ratio</x:v>
      </x:c>
      <x:c r="C76" s="15" t="n">
        <x:v>1.061522</x:v>
      </x:c>
      <x:c r="D76" s="15" t="n">
        <x:v>0.908081</x:v>
      </x:c>
      <x:c r="E76" s="15" t="n">
        <x:v>1.231892</x:v>
      </x:c>
      <x:c r="F76" s="9" t="n">
        <x:v>1000</x:v>
      </x:c>
    </x:row>
    <x:row r="77" ht="30" customHeight="1">
      <x:c r="A77" s="7" t="str">
        <x:v>update; k=0.5</x:v>
      </x:c>
      <x:c r="B77" s="7" t="str">
        <x:v>target_calibration_slope</x:v>
      </x:c>
      <x:c r="C77" s="16" t="n">
        <x:v>0.883868</x:v>
      </x:c>
      <x:c r="D77" s="16" t="n">
        <x:v>0.687391</x:v>
      </x:c>
      <x:c r="E77" s="16" t="n">
        <x:v>1.163857</x:v>
      </x:c>
      <x:c r="F77" s="10" t="n">
        <x:v>1000</x:v>
      </x:c>
    </x:row>
    <x:row r="78" ht="30" customHeight="1">
      <x:c r="A78" s="3" t="str">
        <x:v>update; k=0.5</x:v>
      </x:c>
      <x:c r="B78" s="3" t="str">
        <x:v>target_auroc</x:v>
      </x:c>
      <x:c r="C78" s="15" t="n">
        <x:v>0.673718</x:v>
      </x:c>
      <x:c r="D78" s="15" t="n">
        <x:v>0.632598</x:v>
      </x:c>
      <x:c r="E78" s="15" t="n">
        <x:v>0.716831</x:v>
      </x:c>
      <x:c r="F78" s="9" t="n">
        <x:v>1000</x:v>
      </x:c>
    </x:row>
    <x:row r="79" ht="30" customHeight="1">
      <x:c r="A79" s="7" t="str">
        <x:v>update; k=0.5</x:v>
      </x:c>
      <x:c r="B79" s="7" t="str">
        <x:v>target_brier</x:v>
      </x:c>
      <x:c r="C79" s="16" t="n">
        <x:v>0.093689</x:v>
      </x:c>
      <x:c r="D79" s="16" t="n">
        <x:v>0.084334</x:v>
      </x:c>
      <x:c r="E79" s="16" t="n">
        <x:v>0.103521</x:v>
      </x:c>
      <x:c r="F79" s="10" t="n">
        <x:v>1000</x:v>
      </x:c>
    </x:row>
    <x:row r="80" ht="30" customHeight="1">
      <x:c r="A80" s="3" t="str">
        <x:v>update; k=0.5</x:v>
      </x:c>
      <x:c r="B80" s="3" t="str">
        <x:v>threshold_5_alerts</x:v>
      </x:c>
      <x:c r="C80" s="9" t="n">
        <x:v>2227</x:v>
      </x:c>
      <x:c r="D80" s="15" t="n">
        <x:v>1887.925</x:v>
      </x:c>
      <x:c r="E80" s="9" t="n">
        <x:v>2471</x:v>
      </x:c>
      <x:c r="F80" s="9" t="n">
        <x:v>1000</x:v>
      </x:c>
    </x:row>
    <x:row r="81" ht="36" customHeight="1">
      <x:c r="A81" s="7" t="str">
        <x:v>update; k=0.5</x:v>
      </x:c>
      <x:c r="B81" s="7" t="str">
        <x:v>threshold_5_alerts_per_1000</x:v>
      </x:c>
      <x:c r="C81" s="16" t="n">
        <x:v>860.842675</x:v>
      </x:c>
      <x:c r="D81" s="16" t="n">
        <x:v>729.773869</x:v>
      </x:c>
      <x:c r="E81" s="16" t="n">
        <x:v>955.160417</x:v>
      </x:c>
      <x:c r="F81" s="10" t="n">
        <x:v>1000</x:v>
      </x:c>
    </x:row>
    <x:row r="82" ht="30" customHeight="1">
      <x:c r="A82" s="3" t="str">
        <x:v>update; k=0.5</x:v>
      </x:c>
      <x:c r="B82" s="3" t="str">
        <x:v>threshold_10_alerts</x:v>
      </x:c>
      <x:c r="C82" s="9" t="n">
        <x:v>866</x:v>
      </x:c>
      <x:c r="D82" s="15" t="n">
        <x:v>692.95</x:v>
      </x:c>
      <x:c r="E82" s="15" t="n">
        <x:v>1127.025</x:v>
      </x:c>
      <x:c r="F82" s="9" t="n">
        <x:v>1000</x:v>
      </x:c>
    </x:row>
    <x:row r="83" ht="36" customHeight="1">
      <x:c r="A83" s="7" t="str">
        <x:v>update; k=0.5</x:v>
      </x:c>
      <x:c r="B83" s="7" t="str">
        <x:v>threshold_10_alerts_per_1000</x:v>
      </x:c>
      <x:c r="C83" s="16" t="n">
        <x:v>334.750676</x:v>
      </x:c>
      <x:c r="D83" s="16" t="n">
        <x:v>267.858523</x:v>
      </x:c>
      <x:c r="E83" s="16" t="n">
        <x:v>435.649401</x:v>
      </x:c>
      <x:c r="F83" s="10" t="n">
        <x:v>1000</x:v>
      </x:c>
    </x:row>
    <x:row r="84" ht="30" customHeight="1">
      <x:c r="A84" s="3" t="str">
        <x:v>update; k=0.5</x:v>
      </x:c>
      <x:c r="B84" s="3" t="str">
        <x:v>threshold_20_alerts</x:v>
      </x:c>
      <x:c r="C84" s="9" t="n">
        <x:v>211</x:v>
      </x:c>
      <x:c r="D84" s="15" t="n">
        <x:v>157.975</x:v>
      </x:c>
      <x:c r="E84" s="15" t="n">
        <x:v>275.025</x:v>
      </x:c>
      <x:c r="F84" s="9" t="n">
        <x:v>1000</x:v>
      </x:c>
    </x:row>
    <x:row r="85" ht="36" customHeight="1">
      <x:c r="A85" s="7" t="str">
        <x:v>update; k=0.5</x:v>
      </x:c>
      <x:c r="B85" s="7" t="str">
        <x:v>threshold_20_alerts_per_1000</x:v>
      </x:c>
      <x:c r="C85" s="16" t="n">
        <x:v>81.561654</x:v>
      </x:c>
      <x:c r="D85" s="16" t="n">
        <x:v>61.06494</x:v>
      </x:c>
      <x:c r="E85" s="16" t="n">
        <x:v>106.310398</x:v>
      </x:c>
      <x:c r="F85" s="10" t="n">
        <x:v>1000</x:v>
      </x:c>
    </x:row>
    <x:row r="86" ht="36" customHeight="1">
      <x:c r="A86" s="3" t="str">
        <x:v>update; k=0.667</x:v>
      </x:c>
      <x:c r="B86" s="3" t="str">
        <x:v>update_alpha</x:v>
      </x:c>
      <x:c r="C86" s="15" t="n">
        <x:v>0.146486</x:v>
      </x:c>
      <x:c r="D86" s="15" t="n">
        <x:v>-0.292232</x:v>
      </x:c>
      <x:c r="E86" s="15" t="n">
        <x:v>0.55963</x:v>
      </x:c>
      <x:c r="F86" s="9" t="n">
        <x:v>1000</x:v>
      </x:c>
    </x:row>
    <x:row r="87" ht="36" customHeight="1">
      <x:c r="A87" s="7" t="str">
        <x:v>update; k=0.667</x:v>
      </x:c>
      <x:c r="B87" s="7" t="str">
        <x:v>update_beta</x:v>
      </x:c>
      <x:c r="C87" s="16" t="n">
        <x:v>0.878047</x:v>
      </x:c>
      <x:c r="D87" s="16" t="n">
        <x:v>0.706089</x:v>
      </x:c>
      <x:c r="E87" s="16" t="n">
        <x:v>1.052369</x:v>
      </x:c>
      <x:c r="F87" s="10" t="n">
        <x:v>1000</x:v>
      </x:c>
    </x:row>
    <x:row r="88" ht="36" customHeight="1">
      <x:c r="A88" s="3" t="str">
        <x:v>update; k=0.667</x:v>
      </x:c>
      <x:c r="B88" s="3" t="str">
        <x:v>target_oe_ratio</x:v>
      </x:c>
      <x:c r="C88" s="15" t="n">
        <x:v>1.036514</x:v>
      </x:c>
      <x:c r="D88" s="15" t="n">
        <x:v>0.886499</x:v>
      </x:c>
      <x:c r="E88" s="15" t="n">
        <x:v>1.201746</x:v>
      </x:c>
      <x:c r="F88" s="9" t="n">
        <x:v>1000</x:v>
      </x:c>
    </x:row>
    <x:row r="89" ht="36" customHeight="1">
      <x:c r="A89" s="7" t="str">
        <x:v>update; k=0.667</x:v>
      </x:c>
      <x:c r="B89" s="7" t="str">
        <x:v>target_calibration_slope</x:v>
      </x:c>
      <x:c r="C89" s="16" t="n">
        <x:v>0.897454</x:v>
      </x:c>
      <x:c r="D89" s="16" t="n">
        <x:v>0.695948</x:v>
      </x:c>
      <x:c r="E89" s="16" t="n">
        <x:v>1.188237</x:v>
      </x:c>
      <x:c r="F89" s="10" t="n">
        <x:v>1000</x:v>
      </x:c>
    </x:row>
    <x:row r="90" ht="36" customHeight="1">
      <x:c r="A90" s="3" t="str">
        <x:v>update; k=0.667</x:v>
      </x:c>
      <x:c r="B90" s="3" t="str">
        <x:v>target_auroc</x:v>
      </x:c>
      <x:c r="C90" s="15" t="n">
        <x:v>0.673718</x:v>
      </x:c>
      <x:c r="D90" s="15" t="n">
        <x:v>0.632598</x:v>
      </x:c>
      <x:c r="E90" s="15" t="n">
        <x:v>0.716831</x:v>
      </x:c>
      <x:c r="F90" s="9" t="n">
        <x:v>1000</x:v>
      </x:c>
    </x:row>
    <x:row r="91" ht="36" customHeight="1">
      <x:c r="A91" s="7" t="str">
        <x:v>update; k=0.667</x:v>
      </x:c>
      <x:c r="B91" s="7" t="str">
        <x:v>target_brier</x:v>
      </x:c>
      <x:c r="C91" s="16" t="n">
        <x:v>0.093649</x:v>
      </x:c>
      <x:c r="D91" s="16" t="n">
        <x:v>0.084357</x:v>
      </x:c>
      <x:c r="E91" s="16" t="n">
        <x:v>0.103386</x:v>
      </x:c>
      <x:c r="F91" s="10" t="n">
        <x:v>1000</x:v>
      </x:c>
    </x:row>
    <x:row r="92" ht="36" customHeight="1">
      <x:c r="A92" s="3" t="str">
        <x:v>update; k=0.667</x:v>
      </x:c>
      <x:c r="B92" s="3" t="str">
        <x:v>threshold_5_alerts</x:v>
      </x:c>
      <x:c r="C92" s="9" t="n">
        <x:v>2286</x:v>
      </x:c>
      <x:c r="D92" s="15" t="n">
        <x:v>1945.975</x:v>
      </x:c>
      <x:c r="E92" s="15" t="n">
        <x:v>2502.05</x:v>
      </x:c>
      <x:c r="F92" s="9" t="n">
        <x:v>1000</x:v>
      </x:c>
    </x:row>
    <x:row r="93" ht="36" customHeight="1">
      <x:c r="A93" s="7" t="str">
        <x:v>update; k=0.667</x:v>
      </x:c>
      <x:c r="B93" s="7" t="str">
        <x:v>threshold_5_alerts_per_1000</x:v>
      </x:c>
      <x:c r="C93" s="16" t="n">
        <x:v>883.649014</x:v>
      </x:c>
      <x:c r="D93" s="16" t="n">
        <x:v>752.212988</x:v>
      </x:c>
      <x:c r="E93" s="16" t="n">
        <x:v>967.162737</x:v>
      </x:c>
      <x:c r="F93" s="10" t="n">
        <x:v>1000</x:v>
      </x:c>
    </x:row>
    <x:row r="94" ht="36" customHeight="1">
      <x:c r="A94" s="3" t="str">
        <x:v>update; k=0.667</x:v>
      </x:c>
      <x:c r="B94" s="3" t="str">
        <x:v>threshold_10_alerts</x:v>
      </x:c>
      <x:c r="C94" s="9" t="n">
        <x:v>937</x:v>
      </x:c>
      <x:c r="D94" s="15" t="n">
        <x:v>728.975</x:v>
      </x:c>
      <x:c r="E94" s="15" t="n">
        <x:v>1203.125</x:v>
      </x:c>
      <x:c r="F94" s="9" t="n">
        <x:v>1000</x:v>
      </x:c>
    </x:row>
    <x:row r="95" ht="36" customHeight="1">
      <x:c r="A95" s="7" t="str">
        <x:v>update; k=0.667</x:v>
      </x:c>
      <x:c r="B95" s="7" t="str">
        <x:v>threshold_10_alerts_per_1000</x:v>
      </x:c>
      <x:c r="C95" s="16" t="n">
        <x:v>362.195593</x:v>
      </x:c>
      <x:c r="D95" s="16" t="n">
        <x:v>281.78392</x:v>
      </x:c>
      <x:c r="E95" s="16" t="n">
        <x:v>465.065713</x:v>
      </x:c>
      <x:c r="F95" s="10" t="n">
        <x:v>1000</x:v>
      </x:c>
    </x:row>
    <x:row r="96" ht="36" customHeight="1">
      <x:c r="A96" s="3" t="str">
        <x:v>update; k=0.667</x:v>
      </x:c>
      <x:c r="B96" s="3" t="str">
        <x:v>threshold_20_alerts</x:v>
      </x:c>
      <x:c r="C96" s="9" t="n">
        <x:v>215</x:v>
      </x:c>
      <x:c r="D96" s="9" t="n">
        <x:v>162</x:v>
      </x:c>
      <x:c r="E96" s="9" t="n">
        <x:v>283</x:v>
      </x:c>
      <x:c r="F96" s="9" t="n">
        <x:v>1000</x:v>
      </x:c>
    </x:row>
    <x:row r="97" ht="36" customHeight="1">
      <x:c r="A97" s="7" t="str">
        <x:v>update; k=0.667</x:v>
      </x:c>
      <x:c r="B97" s="7" t="str">
        <x:v>threshold_20_alerts_per_1000</x:v>
      </x:c>
      <x:c r="C97" s="16" t="n">
        <x:v>83.107847</x:v>
      </x:c>
      <x:c r="D97" s="16" t="n">
        <x:v>62.620796</x:v>
      </x:c>
      <x:c r="E97" s="16" t="n">
        <x:v>109.393119</x:v>
      </x:c>
      <x:c r="F97" s="10" t="n">
        <x:v>1000</x:v>
      </x:c>
    </x:row>
    <x:row r="98" ht="30" customHeight="1">
      <x:c r="A98" s="3" t="str">
        <x:v>update; k=1</x:v>
      </x:c>
      <x:c r="B98" s="3" t="str">
        <x:v>update_alpha</x:v>
      </x:c>
      <x:c r="C98" s="15" t="n">
        <x:v>0.13431</x:v>
      </x:c>
      <x:c r="D98" s="15" t="n">
        <x:v>-0.30059</x:v>
      </x:c>
      <x:c r="E98" s="15" t="n">
        <x:v>0.546004</x:v>
      </x:c>
      <x:c r="F98" s="9" t="n">
        <x:v>1000</x:v>
      </x:c>
    </x:row>
    <x:row r="99" ht="30" customHeight="1">
      <x:c r="A99" s="7" t="str">
        <x:v>update; k=1</x:v>
      </x:c>
      <x:c r="B99" s="7" t="str">
        <x:v>update_beta</x:v>
      </x:c>
      <x:c r="C99" s="16" t="n">
        <x:v>0.851384</x:v>
      </x:c>
      <x:c r="D99" s="16" t="n">
        <x:v>0.680889</x:v>
      </x:c>
      <x:c r="E99" s="16" t="n">
        <x:v>1.022695</x:v>
      </x:c>
      <x:c r="F99" s="10" t="n">
        <x:v>1000</x:v>
      </x:c>
    </x:row>
    <x:row r="100" ht="30" customHeight="1">
      <x:c r="A100" s="3" t="str">
        <x:v>update; k=1</x:v>
      </x:c>
      <x:c r="B100" s="3" t="str">
        <x:v>target_oe_ratio</x:v>
      </x:c>
      <x:c r="C100" s="15" t="n">
        <x:v>0.992975</x:v>
      </x:c>
      <x:c r="D100" s="15" t="n">
        <x:v>0.851817</x:v>
      </x:c>
      <x:c r="E100" s="15" t="n">
        <x:v>1.153717</x:v>
      </x:c>
      <x:c r="F100" s="9" t="n">
        <x:v>1000</x:v>
      </x:c>
    </x:row>
    <x:row r="101" ht="30" customHeight="1">
      <x:c r="A101" s="7" t="str">
        <x:v>update; k=1</x:v>
      </x:c>
      <x:c r="B101" s="7" t="str">
        <x:v>target_calibration_slope</x:v>
      </x:c>
      <x:c r="C101" s="16" t="n">
        <x:v>0.92556</x:v>
      </x:c>
      <x:c r="D101" s="16" t="n">
        <x:v>0.71672</x:v>
      </x:c>
      <x:c r="E101" s="16" t="n">
        <x:v>1.234916</x:v>
      </x:c>
      <x:c r="F101" s="10" t="n">
        <x:v>1000</x:v>
      </x:c>
    </x:row>
    <x:row r="102" ht="30" customHeight="1">
      <x:c r="A102" s="3" t="str">
        <x:v>update; k=1</x:v>
      </x:c>
      <x:c r="B102" s="3" t="str">
        <x:v>target_auroc</x:v>
      </x:c>
      <x:c r="C102" s="15" t="n">
        <x:v>0.673718</x:v>
      </x:c>
      <x:c r="D102" s="15" t="n">
        <x:v>0.632598</x:v>
      </x:c>
      <x:c r="E102" s="15" t="n">
        <x:v>0.716831</x:v>
      </x:c>
      <x:c r="F102" s="9" t="n">
        <x:v>1000</x:v>
      </x:c>
    </x:row>
    <x:row r="103" ht="30" customHeight="1">
      <x:c r="A103" s="7" t="str">
        <x:v>update; k=1</x:v>
      </x:c>
      <x:c r="B103" s="7" t="str">
        <x:v>target_brier</x:v>
      </x:c>
      <x:c r="C103" s="16" t="n">
        <x:v>0.093605</x:v>
      </x:c>
      <x:c r="D103" s="16" t="n">
        <x:v>0.084389</x:v>
      </x:c>
      <x:c r="E103" s="16" t="n">
        <x:v>0.103178</x:v>
      </x:c>
      <x:c r="F103" s="10" t="n">
        <x:v>1000</x:v>
      </x:c>
    </x:row>
    <x:row r="104" ht="30" customHeight="1">
      <x:c r="A104" s="3" t="str">
        <x:v>update; k=1</x:v>
      </x:c>
      <x:c r="B104" s="3" t="str">
        <x:v>threshold_5_alerts</x:v>
      </x:c>
      <x:c r="C104" s="9" t="n">
        <x:v>2370</x:v>
      </x:c>
      <x:c r="D104" s="15" t="n">
        <x:v>2059.975</x:v>
      </x:c>
      <x:c r="E104" s="15" t="n">
        <x:v>2547.025</x:v>
      </x:c>
      <x:c r="F104" s="9" t="n">
        <x:v>1000</x:v>
      </x:c>
    </x:row>
    <x:row r="105" ht="36" customHeight="1">
      <x:c r="A105" s="7" t="str">
        <x:v>update; k=1</x:v>
      </x:c>
      <x:c r="B105" s="7" t="str">
        <x:v>threshold_5_alerts_per_1000</x:v>
      </x:c>
      <x:c r="C105" s="16" t="n">
        <x:v>916.119057</x:v>
      </x:c>
      <x:c r="D105" s="16" t="n">
        <x:v>796.279474</x:v>
      </x:c>
      <x:c r="E105" s="16" t="n">
        <x:v>984.547739</x:v>
      </x:c>
      <x:c r="F105" s="10" t="n">
        <x:v>1000</x:v>
      </x:c>
    </x:row>
    <x:row r="106" ht="30" customHeight="1">
      <x:c r="A106" s="3" t="str">
        <x:v>update; k=1</x:v>
      </x:c>
      <x:c r="B106" s="3" t="str">
        <x:v>threshold_10_alerts</x:v>
      </x:c>
      <x:c r="C106" s="9" t="n">
        <x:v>1049</x:v>
      </x:c>
      <x:c r="D106" s="9" t="n">
        <x:v>803</x:v>
      </x:c>
      <x:c r="E106" s="9" t="n">
        <x:v>1323</x:v>
      </x:c>
      <x:c r="F106" s="9" t="n">
        <x:v>1000</x:v>
      </x:c>
    </x:row>
    <x:row r="107" ht="36" customHeight="1">
      <x:c r="A107" s="7" t="str">
        <x:v>update; k=1</x:v>
      </x:c>
      <x:c r="B107" s="7" t="str">
        <x:v>threshold_10_alerts_per_1000</x:v>
      </x:c>
      <x:c r="C107" s="16" t="n">
        <x:v>405.488983</x:v>
      </x:c>
      <x:c r="D107" s="16" t="n">
        <x:v>310.398145</x:v>
      </x:c>
      <x:c r="E107" s="16" t="n">
        <x:v>511.40317</x:v>
      </x:c>
      <x:c r="F107" s="10" t="n">
        <x:v>1000</x:v>
      </x:c>
    </x:row>
    <x:row r="108" ht="30" customHeight="1">
      <x:c r="A108" s="3" t="str">
        <x:v>update; k=1</x:v>
      </x:c>
      <x:c r="B108" s="3" t="str">
        <x:v>threshold_20_alerts</x:v>
      </x:c>
      <x:c r="C108" s="9" t="n">
        <x:v>226</x:v>
      </x:c>
      <x:c r="D108" s="15" t="n">
        <x:v>167.975</x:v>
      </x:c>
      <x:c r="E108" s="15" t="n">
        <x:v>298.025</x:v>
      </x:c>
      <x:c r="F108" s="9" t="n">
        <x:v>1000</x:v>
      </x:c>
    </x:row>
    <x:row r="109" ht="36" customHeight="1">
      <x:c r="A109" s="7" t="str">
        <x:v>update; k=1</x:v>
      </x:c>
      <x:c r="B109" s="7" t="str">
        <x:v>threshold_20_alerts_per_1000</x:v>
      </x:c>
      <x:c r="C109" s="16" t="n">
        <x:v>87.359876</x:v>
      </x:c>
      <x:c r="D109" s="16" t="n">
        <x:v>64.930421</x:v>
      </x:c>
      <x:c r="E109" s="16" t="n">
        <x:v>115.201005</x:v>
      </x:c>
      <x:c r="F109" s="10" t="n">
        <x:v>1000</x:v>
      </x:c>
    </x:row>
    <x:row r="110" ht="30" customHeight="1">
      <x:c r="A110" s="3" t="str">
        <x:v>update; k=1.5</x:v>
      </x:c>
      <x:c r="B110" s="3" t="str">
        <x:v>update_alpha</x:v>
      </x:c>
      <x:c r="C110" s="15" t="n">
        <x:v>0.109603</x:v>
      </x:c>
      <x:c r="D110" s="15" t="n">
        <x:v>-0.320017</x:v>
      </x:c>
      <x:c r="E110" s="15" t="n">
        <x:v>0.508056</x:v>
      </x:c>
      <x:c r="F110" s="9" t="n">
        <x:v>1000</x:v>
      </x:c>
    </x:row>
    <x:row r="111" ht="30" customHeight="1">
      <x:c r="A111" s="7" t="str">
        <x:v>update; k=1.5</x:v>
      </x:c>
      <x:c r="B111" s="7" t="str">
        <x:v>update_beta</x:v>
      </x:c>
      <x:c r="C111" s="16" t="n">
        <x:v>0.813486</x:v>
      </x:c>
      <x:c r="D111" s="16" t="n">
        <x:v>0.646248</x:v>
      </x:c>
      <x:c r="E111" s="16" t="n">
        <x:v>0.979363</x:v>
      </x:c>
      <x:c r="F111" s="10" t="n">
        <x:v>1000</x:v>
      </x:c>
    </x:row>
    <x:row r="112" ht="30" customHeight="1">
      <x:c r="A112" s="3" t="str">
        <x:v>update; k=1.5</x:v>
      </x:c>
      <x:c r="B112" s="3" t="str">
        <x:v>target_oe_ratio</x:v>
      </x:c>
      <x:c r="C112" s="15" t="n">
        <x:v>0.93939</x:v>
      </x:c>
      <x:c r="D112" s="15" t="n">
        <x:v>0.806076</x:v>
      </x:c>
      <x:c r="E112" s="15" t="n">
        <x:v>1.093816</x:v>
      </x:c>
      <x:c r="F112" s="9" t="n">
        <x:v>1000</x:v>
      </x:c>
    </x:row>
    <x:row r="113" ht="30" customHeight="1">
      <x:c r="A113" s="7" t="str">
        <x:v>update; k=1.5</x:v>
      </x:c>
      <x:c r="B113" s="7" t="str">
        <x:v>target_calibration_slope</x:v>
      </x:c>
      <x:c r="C113" s="16" t="n">
        <x:v>0.96868</x:v>
      </x:c>
      <x:c r="D113" s="16" t="n">
        <x:v>0.748182</x:v>
      </x:c>
      <x:c r="E113" s="16" t="n">
        <x:v>1.297157</x:v>
      </x:c>
      <x:c r="F113" s="10" t="n">
        <x:v>1000</x:v>
      </x:c>
    </x:row>
    <x:row r="114" ht="30" customHeight="1">
      <x:c r="A114" s="3" t="str">
        <x:v>update; k=1.5</x:v>
      </x:c>
      <x:c r="B114" s="3" t="str">
        <x:v>target_auroc</x:v>
      </x:c>
      <x:c r="C114" s="15" t="n">
        <x:v>0.673718</x:v>
      </x:c>
      <x:c r="D114" s="15" t="n">
        <x:v>0.632598</x:v>
      </x:c>
      <x:c r="E114" s="15" t="n">
        <x:v>0.716831</x:v>
      </x:c>
      <x:c r="F114" s="9" t="n">
        <x:v>1000</x:v>
      </x:c>
    </x:row>
    <x:row r="115" ht="30" customHeight="1">
      <x:c r="A115" s="7" t="str">
        <x:v>update; k=1.5</x:v>
      </x:c>
      <x:c r="B115" s="7" t="str">
        <x:v>target_brier</x:v>
      </x:c>
      <x:c r="C115" s="16" t="n">
        <x:v>0.093617</x:v>
      </x:c>
      <x:c r="D115" s="16" t="n">
        <x:v>0.084526</x:v>
      </x:c>
      <x:c r="E115" s="16" t="n">
        <x:v>0.102984</x:v>
      </x:c>
      <x:c r="F115" s="10" t="n">
        <x:v>1000</x:v>
      </x:c>
    </x:row>
    <x:row r="116" ht="30" customHeight="1">
      <x:c r="A116" s="3" t="str">
        <x:v>update; k=1.5</x:v>
      </x:c>
      <x:c r="B116" s="3" t="str">
        <x:v>threshold_5_alerts</x:v>
      </x:c>
      <x:c r="C116" s="9" t="n">
        <x:v>2463</x:v>
      </x:c>
      <x:c r="D116" s="15" t="n">
        <x:v>2207.95</x:v>
      </x:c>
      <x:c r="E116" s="9" t="n">
        <x:v>2580</x:v>
      </x:c>
      <x:c r="F116" s="9" t="n">
        <x:v>1000</x:v>
      </x:c>
    </x:row>
    <x:row r="117" ht="36" customHeight="1">
      <x:c r="A117" s="7" t="str">
        <x:v>update; k=1.5</x:v>
      </x:c>
      <x:c r="B117" s="7" t="str">
        <x:v>threshold_5_alerts_per_1000</x:v>
      </x:c>
      <x:c r="C117" s="16" t="n">
        <x:v>952.068032</x:v>
      </x:c>
      <x:c r="D117" s="16" t="n">
        <x:v>853.478933</x:v>
      </x:c>
      <x:c r="E117" s="16" t="n">
        <x:v>997.294163</x:v>
      </x:c>
      <x:c r="F117" s="10" t="n">
        <x:v>1000</x:v>
      </x:c>
    </x:row>
    <x:row r="118" ht="30" customHeight="1">
      <x:c r="A118" s="3" t="str">
        <x:v>update; k=1.5</x:v>
      </x:c>
      <x:c r="B118" s="3" t="str">
        <x:v>threshold_10_alerts</x:v>
      </x:c>
      <x:c r="C118" s="9" t="n">
        <x:v>1200</x:v>
      </x:c>
      <x:c r="D118" s="15" t="n">
        <x:v>911.9</x:v>
      </x:c>
      <x:c r="E118" s="9" t="n">
        <x:v>1544</x:v>
      </x:c>
      <x:c r="F118" s="9" t="n">
        <x:v>1000</x:v>
      </x:c>
    </x:row>
    <x:row r="119" ht="36" customHeight="1">
      <x:c r="A119" s="7" t="str">
        <x:v>update; k=1.5</x:v>
      </x:c>
      <x:c r="B119" s="7" t="str">
        <x:v>threshold_10_alerts_per_1000</x:v>
      </x:c>
      <x:c r="C119" s="16" t="n">
        <x:v>463.85775</x:v>
      </x:c>
      <x:c r="D119" s="16" t="n">
        <x:v>352.493235</x:v>
      </x:c>
      <x:c r="E119" s="16" t="n">
        <x:v>596.830305</x:v>
      </x:c>
      <x:c r="F119" s="10" t="n">
        <x:v>1000</x:v>
      </x:c>
    </x:row>
    <x:row r="120" ht="30" customHeight="1">
      <x:c r="A120" s="3" t="str">
        <x:v>update; k=1.5</x:v>
      </x:c>
      <x:c r="B120" s="3" t="str">
        <x:v>threshold_20_alerts</x:v>
      </x:c>
      <x:c r="C120" s="9" t="n">
        <x:v>240</x:v>
      </x:c>
      <x:c r="D120" s="15" t="n">
        <x:v>176.975</x:v>
      </x:c>
      <x:c r="E120" s="15" t="n">
        <x:v>323.025</x:v>
      </x:c>
      <x:c r="F120" s="9" t="n">
        <x:v>1000</x:v>
      </x:c>
    </x:row>
    <x:row r="121" ht="36" customHeight="1">
      <x:c r="A121" s="7" t="str">
        <x:v>update; k=1.5</x:v>
      </x:c>
      <x:c r="B121" s="7" t="str">
        <x:v>threshold_20_alerts_per_1000</x:v>
      </x:c>
      <x:c r="C121" s="16" t="n">
        <x:v>92.77155</x:v>
      </x:c>
      <x:c r="D121" s="16" t="n">
        <x:v>68.409354</x:v>
      </x:c>
      <x:c r="E121" s="16" t="n">
        <x:v>124.864708</x:v>
      </x:c>
      <x:c r="F121" s="10" t="n">
        <x:v>1000</x:v>
      </x:c>
    </x:row>
    <x:row r="122" ht="30" customHeight="1">
      <x:c r="A122" s="3" t="str">
        <x:v>update; k=2</x:v>
      </x:c>
      <x:c r="B122" s="3" t="str">
        <x:v>update_alpha</x:v>
      </x:c>
      <x:c r="C122" s="15" t="n">
        <x:v>0.082163</x:v>
      </x:c>
      <x:c r="D122" s="15" t="n">
        <x:v>-0.33998</x:v>
      </x:c>
      <x:c r="E122" s="15" t="n">
        <x:v>0.476649</x:v>
      </x:c>
      <x:c r="F122" s="9" t="n">
        <x:v>1000</x:v>
      </x:c>
    </x:row>
    <x:row r="123" ht="30" customHeight="1">
      <x:c r="A123" s="7" t="str">
        <x:v>update; k=2</x:v>
      </x:c>
      <x:c r="B123" s="7" t="str">
        <x:v>update_beta</x:v>
      </x:c>
      <x:c r="C123" s="16" t="n">
        <x:v>0.778654</x:v>
      </x:c>
      <x:c r="D123" s="16" t="n">
        <x:v>0.608961</x:v>
      </x:c>
      <x:c r="E123" s="16" t="n">
        <x:v>0.944379</x:v>
      </x:c>
      <x:c r="F123" s="10" t="n">
        <x:v>1000</x:v>
      </x:c>
    </x:row>
    <x:row r="124" ht="30" customHeight="1">
      <x:c r="A124" s="3" t="str">
        <x:v>update; k=2</x:v>
      </x:c>
      <x:c r="B124" s="3" t="str">
        <x:v>target_oe_ratio</x:v>
      </x:c>
      <x:c r="C124" s="15" t="n">
        <x:v>0.895664</x:v>
      </x:c>
      <x:c r="D124" s="15" t="n">
        <x:v>0.769279</x:v>
      </x:c>
      <x:c r="E124" s="15" t="n">
        <x:v>1.042393</x:v>
      </x:c>
      <x:c r="F124" s="9" t="n">
        <x:v>1000</x:v>
      </x:c>
    </x:row>
    <x:row r="125" ht="30" customHeight="1">
      <x:c r="A125" s="7" t="str">
        <x:v>update; k=2</x:v>
      </x:c>
      <x:c r="B125" s="7" t="str">
        <x:v>target_calibration_slope</x:v>
      </x:c>
      <x:c r="C125" s="16" t="n">
        <x:v>1.012013</x:v>
      </x:c>
      <x:c r="D125" s="16" t="n">
        <x:v>0.773122</x:v>
      </x:c>
      <x:c r="E125" s="16" t="n">
        <x:v>1.367712</x:v>
      </x:c>
      <x:c r="F125" s="10" t="n">
        <x:v>1000</x:v>
      </x:c>
    </x:row>
    <x:row r="126" ht="30" customHeight="1">
      <x:c r="A126" s="3" t="str">
        <x:v>update; k=2</x:v>
      </x:c>
      <x:c r="B126" s="3" t="str">
        <x:v>target_auroc</x:v>
      </x:c>
      <x:c r="C126" s="15" t="n">
        <x:v>0.673718</x:v>
      </x:c>
      <x:c r="D126" s="15" t="n">
        <x:v>0.632598</x:v>
      </x:c>
      <x:c r="E126" s="15" t="n">
        <x:v>0.716831</x:v>
      </x:c>
      <x:c r="F126" s="9" t="n">
        <x:v>1000</x:v>
      </x:c>
    </x:row>
    <x:row r="127" ht="30" customHeight="1">
      <x:c r="A127" s="7" t="str">
        <x:v>update; k=2</x:v>
      </x:c>
      <x:c r="B127" s="7" t="str">
        <x:v>target_brier</x:v>
      </x:c>
      <x:c r="C127" s="16" t="n">
        <x:v>0.093703</x:v>
      </x:c>
      <x:c r="D127" s="16" t="n">
        <x:v>0.084759</x:v>
      </x:c>
      <x:c r="E127" s="16" t="n">
        <x:v>0.102893</x:v>
      </x:c>
      <x:c r="F127" s="10" t="n">
        <x:v>1000</x:v>
      </x:c>
    </x:row>
    <x:row r="128" ht="30" customHeight="1">
      <x:c r="A128" s="3" t="str">
        <x:v>update; k=2</x:v>
      </x:c>
      <x:c r="B128" s="3" t="str">
        <x:v>threshold_5_alerts</x:v>
      </x:c>
      <x:c r="C128" s="9" t="n">
        <x:v>2522</x:v>
      </x:c>
      <x:c r="D128" s="15" t="n">
        <x:v>2319.925</x:v>
      </x:c>
      <x:c r="E128" s="9" t="n">
        <x:v>2587</x:v>
      </x:c>
      <x:c r="F128" s="9" t="n">
        <x:v>1000</x:v>
      </x:c>
    </x:row>
    <x:row r="129" ht="36" customHeight="1">
      <x:c r="A129" s="7" t="str">
        <x:v>update; k=2</x:v>
      </x:c>
      <x:c r="B129" s="7" t="str">
        <x:v>threshold_5_alerts_per_1000</x:v>
      </x:c>
      <x:c r="C129" s="16" t="n">
        <x:v>974.874372</x:v>
      </x:c>
      <x:c r="D129" s="16" t="n">
        <x:v>896.762659</x:v>
      </x:c>
      <x:c r="E129" s="10" t="n">
        <x:v>1000</x:v>
      </x:c>
      <x:c r="F129" s="10" t="n">
        <x:v>1000</x:v>
      </x:c>
    </x:row>
    <x:row r="130" ht="30" customHeight="1">
      <x:c r="A130" s="3" t="str">
        <x:v>update; k=2</x:v>
      </x:c>
      <x:c r="B130" s="3" t="str">
        <x:v>threshold_10_alerts</x:v>
      </x:c>
      <x:c r="C130" s="9" t="n">
        <x:v>1343</x:v>
      </x:c>
      <x:c r="D130" s="9" t="n">
        <x:v>1025</x:v>
      </x:c>
      <x:c r="E130" s="15" t="n">
        <x:v>1751.075</x:v>
      </x:c>
      <x:c r="F130" s="9" t="n">
        <x:v>1000</x:v>
      </x:c>
    </x:row>
    <x:row r="131" ht="36" customHeight="1">
      <x:c r="A131" s="7" t="str">
        <x:v>update; k=2</x:v>
      </x:c>
      <x:c r="B131" s="7" t="str">
        <x:v>threshold_10_alerts_per_1000</x:v>
      </x:c>
      <x:c r="C131" s="16" t="n">
        <x:v>519.134132</x:v>
      </x:c>
      <x:c r="D131" s="16" t="n">
        <x:v>396.211828</x:v>
      </x:c>
      <x:c r="E131" s="16" t="n">
        <x:v>676.874758</x:v>
      </x:c>
      <x:c r="F131" s="10" t="n">
        <x:v>1000</x:v>
      </x:c>
    </x:row>
    <x:row r="132" ht="30" customHeight="1">
      <x:c r="A132" s="3" t="str">
        <x:v>update; k=2</x:v>
      </x:c>
      <x:c r="B132" s="3" t="str">
        <x:v>threshold_20_alerts</x:v>
      </x:c>
      <x:c r="C132" s="9" t="n">
        <x:v>262</x:v>
      </x:c>
      <x:c r="D132" s="15" t="n">
        <x:v>185.975</x:v>
      </x:c>
      <x:c r="E132" s="15" t="n">
        <x:v>346.025</x:v>
      </x:c>
      <x:c r="F132" s="9" t="n">
        <x:v>1000</x:v>
      </x:c>
    </x:row>
    <x:row r="133" ht="36" customHeight="1">
      <x:c r="A133" s="7" t="str">
        <x:v>update; k=2</x:v>
      </x:c>
      <x:c r="B133" s="7" t="str">
        <x:v>threshold_20_alerts_per_1000</x:v>
      </x:c>
      <x:c r="C133" s="16" t="n">
        <x:v>101.275609</x:v>
      </x:c>
      <x:c r="D133" s="16" t="n">
        <x:v>71.888288</x:v>
      </x:c>
      <x:c r="E133" s="16" t="n">
        <x:v>133.755315</x:v>
      </x:c>
      <x:c r="F133" s="10" t="n">
        <x:v>1000</x:v>
      </x:c>
    </x:row>
    <x:row r="134" ht="30" customHeight="1">
      <x:c r="A134" s="3" t="str">
        <x:v>update; k=3</x:v>
      </x:c>
      <x:c r="B134" s="3" t="str">
        <x:v>update_alpha</x:v>
      </x:c>
      <x:c r="C134" s="15" t="n">
        <x:v>0.027213</x:v>
      </x:c>
      <x:c r="D134" s="15" t="n">
        <x:v>-0.393424</x:v>
      </x:c>
      <x:c r="E134" s="15" t="n">
        <x:v>0.412992</x:v>
      </x:c>
      <x:c r="F134" s="9" t="n">
        <x:v>1000</x:v>
      </x:c>
    </x:row>
    <x:row r="135" ht="30" customHeight="1">
      <x:c r="A135" s="7" t="str">
        <x:v>update; k=3</x:v>
      </x:c>
      <x:c r="B135" s="7" t="str">
        <x:v>update_beta</x:v>
      </x:c>
      <x:c r="C135" s="16" t="n">
        <x:v>0.717689</x:v>
      </x:c>
      <x:c r="D135" s="16" t="n">
        <x:v>0.549305</x:v>
      </x:c>
      <x:c r="E135" s="16" t="n">
        <x:v>0.881604</x:v>
      </x:c>
      <x:c r="F135" s="10" t="n">
        <x:v>1000</x:v>
      </x:c>
    </x:row>
    <x:row r="136" ht="30" customHeight="1">
      <x:c r="A136" s="3" t="str">
        <x:v>update; k=3</x:v>
      </x:c>
      <x:c r="B136" s="3" t="str">
        <x:v>target_oe_ratio</x:v>
      </x:c>
      <x:c r="C136" s="15" t="n">
        <x:v>0.827661</x:v>
      </x:c>
      <x:c r="D136" s="15" t="n">
        <x:v>0.712157</x:v>
      </x:c>
      <x:c r="E136" s="15" t="n">
        <x:v>0.966356</x:v>
      </x:c>
      <x:c r="F136" s="9" t="n">
        <x:v>1000</x:v>
      </x:c>
    </x:row>
    <x:row r="137" ht="30" customHeight="1">
      <x:c r="A137" s="7" t="str">
        <x:v>update; k=3</x:v>
      </x:c>
      <x:c r="B137" s="7" t="str">
        <x:v>target_calibration_slope</x:v>
      </x:c>
      <x:c r="C137" s="16" t="n">
        <x:v>1.097979</x:v>
      </x:c>
      <x:c r="D137" s="16" t="n">
        <x:v>0.826512</x:v>
      </x:c>
      <x:c r="E137" s="16" t="n">
        <x:v>1.502479</x:v>
      </x:c>
      <x:c r="F137" s="10" t="n">
        <x:v>1000</x:v>
      </x:c>
    </x:row>
    <x:row r="138" ht="30" customHeight="1">
      <x:c r="A138" s="3" t="str">
        <x:v>update; k=3</x:v>
      </x:c>
      <x:c r="B138" s="3" t="str">
        <x:v>target_auroc</x:v>
      </x:c>
      <x:c r="C138" s="15" t="n">
        <x:v>0.673718</x:v>
      </x:c>
      <x:c r="D138" s="15" t="n">
        <x:v>0.632598</x:v>
      </x:c>
      <x:c r="E138" s="15" t="n">
        <x:v>0.716831</x:v>
      </x:c>
      <x:c r="F138" s="9" t="n">
        <x:v>1000</x:v>
      </x:c>
    </x:row>
    <x:row r="139" ht="30" customHeight="1">
      <x:c r="A139" s="7" t="str">
        <x:v>update; k=3</x:v>
      </x:c>
      <x:c r="B139" s="7" t="str">
        <x:v>target_brier</x:v>
      </x:c>
      <x:c r="C139" s="16" t="n">
        <x:v>0.094036</x:v>
      </x:c>
      <x:c r="D139" s="16" t="n">
        <x:v>0.085347</x:v>
      </x:c>
      <x:c r="E139" s="16" t="n">
        <x:v>0.102971</x:v>
      </x:c>
      <x:c r="F139" s="10" t="n">
        <x:v>1000</x:v>
      </x:c>
    </x:row>
    <x:row r="140" ht="30" customHeight="1">
      <x:c r="A140" s="3" t="str">
        <x:v>update; k=3</x:v>
      </x:c>
      <x:c r="B140" s="3" t="str">
        <x:v>threshold_5_alerts</x:v>
      </x:c>
      <x:c r="C140" s="9" t="n">
        <x:v>2579</x:v>
      </x:c>
      <x:c r="D140" s="15" t="n">
        <x:v>2455.95</x:v>
      </x:c>
      <x:c r="E140" s="9" t="n">
        <x:v>2587</x:v>
      </x:c>
      <x:c r="F140" s="9" t="n">
        <x:v>1000</x:v>
      </x:c>
    </x:row>
    <x:row r="141" ht="36" customHeight="1">
      <x:c r="A141" s="7" t="str">
        <x:v>update; k=3</x:v>
      </x:c>
      <x:c r="B141" s="7" t="str">
        <x:v>threshold_5_alerts_per_1000</x:v>
      </x:c>
      <x:c r="C141" s="16" t="n">
        <x:v>996.907615</x:v>
      </x:c>
      <x:c r="D141" s="16" t="n">
        <x:v>949.342868</x:v>
      </x:c>
      <x:c r="E141" s="10" t="n">
        <x:v>1000</x:v>
      </x:c>
      <x:c r="F141" s="10" t="n">
        <x:v>1000</x:v>
      </x:c>
    </x:row>
    <x:row r="142" ht="30" customHeight="1">
      <x:c r="A142" s="3" t="str">
        <x:v>update; k=3</x:v>
      </x:c>
      <x:c r="B142" s="3" t="str">
        <x:v>threshold_10_alerts</x:v>
      </x:c>
      <x:c r="C142" s="9" t="n">
        <x:v>1658</x:v>
      </x:c>
      <x:c r="D142" s="15" t="n">
        <x:v>1259.95</x:v>
      </x:c>
      <x:c r="E142" s="15" t="n">
        <x:v>2098.1</x:v>
      </x:c>
      <x:c r="F142" s="9" t="n">
        <x:v>1000</x:v>
      </x:c>
    </x:row>
    <x:row r="143" ht="36" customHeight="1">
      <x:c r="A143" s="7" t="str">
        <x:v>update; k=3</x:v>
      </x:c>
      <x:c r="B143" s="7" t="str">
        <x:v>threshold_10_alerts_per_1000</x:v>
      </x:c>
      <x:c r="C143" s="16" t="n">
        <x:v>640.896792</x:v>
      </x:c>
      <x:c r="D143" s="16" t="n">
        <x:v>487.03131</x:v>
      </x:c>
      <x:c r="E143" s="16" t="n">
        <x:v>811.016622</x:v>
      </x:c>
      <x:c r="F143" s="10" t="n">
        <x:v>1000</x:v>
      </x:c>
    </x:row>
    <x:row r="144" ht="30" customHeight="1">
      <x:c r="A144" s="3" t="str">
        <x:v>update; k=3</x:v>
      </x:c>
      <x:c r="B144" s="3" t="str">
        <x:v>threshold_20_alerts</x:v>
      </x:c>
      <x:c r="C144" s="9" t="n">
        <x:v>290</x:v>
      </x:c>
      <x:c r="D144" s="9" t="n">
        <x:v>201</x:v>
      </x:c>
      <x:c r="E144" s="9" t="n">
        <x:v>396</x:v>
      </x:c>
      <x:c r="F144" s="9" t="n">
        <x:v>1000</x:v>
      </x:c>
    </x:row>
    <x:row r="145" ht="36" customHeight="1">
      <x:c r="A145" s="7" t="str">
        <x:v>update; k=3</x:v>
      </x:c>
      <x:c r="B145" s="7" t="str">
        <x:v>threshold_20_alerts_per_1000</x:v>
      </x:c>
      <x:c r="C145" s="16" t="n">
        <x:v>112.098956</x:v>
      </x:c>
      <x:c r="D145" s="16" t="n">
        <x:v>77.696173</x:v>
      </x:c>
      <x:c r="E145" s="16" t="n">
        <x:v>153.073058</x:v>
      </x:c>
      <x:c r="F145" s="10" t="n">
        <x:v>1000</x:v>
      </x:c>
    </x:row>
    <x:row r="146" ht="30" customHeight="1">
      <x:c r="A146" s="3" t="str">
        <x:v>target; k=0.5</x:v>
      </x:c>
      <x:c r="B146" s="3" t="str">
        <x:v>update_alpha</x:v>
      </x:c>
      <x:c r="C146" s="15" t="n">
        <x:v>0.206568</x:v>
      </x:c>
      <x:c r="D146" s="15" t="n">
        <x:v>-0.239357</x:v>
      </x:c>
      <x:c r="E146" s="15" t="n">
        <x:v>0.644484</x:v>
      </x:c>
      <x:c r="F146" s="9" t="n">
        <x:v>1000</x:v>
      </x:c>
    </x:row>
    <x:row r="147" ht="30" customHeight="1">
      <x:c r="A147" s="7" t="str">
        <x:v>target; k=0.5</x:v>
      </x:c>
      <x:c r="B147" s="7" t="str">
        <x:v>update_beta</x:v>
      </x:c>
      <x:c r="C147" s="16" t="n">
        <x:v>0.890956</x:v>
      </x:c>
      <x:c r="D147" s="16" t="n">
        <x:v>0.715289</x:v>
      </x:c>
      <x:c r="E147" s="16" t="n">
        <x:v>1.073552</x:v>
      </x:c>
      <x:c r="F147" s="10" t="n">
        <x:v>1000</x:v>
      </x:c>
    </x:row>
    <x:row r="148" ht="30" customHeight="1">
      <x:c r="A148" s="3" t="str">
        <x:v>target; k=0.5</x:v>
      </x:c>
      <x:c r="B148" s="3" t="str">
        <x:v>target_oe_ratio</x:v>
      </x:c>
      <x:c r="C148" s="15" t="n">
        <x:v>0.971745</x:v>
      </x:c>
      <x:c r="D148" s="15" t="n">
        <x:v>0.830347</x:v>
      </x:c>
      <x:c r="E148" s="15" t="n">
        <x:v>1.130576</x:v>
      </x:c>
      <x:c r="F148" s="9" t="n">
        <x:v>1000</x:v>
      </x:c>
    </x:row>
    <x:row r="149" ht="30" customHeight="1">
      <x:c r="A149" s="7" t="str">
        <x:v>target; k=0.5</x:v>
      </x:c>
      <x:c r="B149" s="7" t="str">
        <x:v>target_calibration_slope</x:v>
      </x:c>
      <x:c r="C149" s="16" t="n">
        <x:v>0.90937</x:v>
      </x:c>
      <x:c r="D149" s="16" t="n">
        <x:v>0.706832</x:v>
      </x:c>
      <x:c r="E149" s="16" t="n">
        <x:v>1.177879</x:v>
      </x:c>
      <x:c r="F149" s="10" t="n">
        <x:v>1000</x:v>
      </x:c>
    </x:row>
    <x:row r="150" ht="30" customHeight="1">
      <x:c r="A150" s="3" t="str">
        <x:v>target; k=0.5</x:v>
      </x:c>
      <x:c r="B150" s="3" t="str">
        <x:v>target_auroc</x:v>
      </x:c>
      <x:c r="C150" s="15" t="n">
        <x:v>0.678408</x:v>
      </x:c>
      <x:c r="D150" s="15" t="n">
        <x:v>0.640347</x:v>
      </x:c>
      <x:c r="E150" s="15" t="n">
        <x:v>0.719885</x:v>
      </x:c>
      <x:c r="F150" s="9" t="n">
        <x:v>1000</x:v>
      </x:c>
    </x:row>
    <x:row r="151" ht="30" customHeight="1">
      <x:c r="A151" s="7" t="str">
        <x:v>target; k=0.5</x:v>
      </x:c>
      <x:c r="B151" s="7" t="str">
        <x:v>target_brier</x:v>
      </x:c>
      <x:c r="C151" s="16" t="n">
        <x:v>0.090454</x:v>
      </x:c>
      <x:c r="D151" s="16" t="n">
        <x:v>0.081629</x:v>
      </x:c>
      <x:c r="E151" s="16" t="n">
        <x:v>0.099452</x:v>
      </x:c>
      <x:c r="F151" s="10" t="n">
        <x:v>1000</x:v>
      </x:c>
    </x:row>
    <x:row r="152" ht="30" customHeight="1">
      <x:c r="A152" s="3" t="str">
        <x:v>target; k=0.5</x:v>
      </x:c>
      <x:c r="B152" s="3" t="str">
        <x:v>threshold_5_alerts</x:v>
      </x:c>
      <x:c r="C152" s="9" t="n">
        <x:v>2309</x:v>
      </x:c>
      <x:c r="D152" s="9" t="n">
        <x:v>1954</x:v>
      </x:c>
      <x:c r="E152" s="9" t="n">
        <x:v>2513</x:v>
      </x:c>
      <x:c r="F152" s="9" t="n">
        <x:v>1000</x:v>
      </x:c>
    </x:row>
    <x:row r="153" ht="36" customHeight="1">
      <x:c r="A153" s="7" t="str">
        <x:v>target; k=0.5</x:v>
      </x:c>
      <x:c r="B153" s="7" t="str">
        <x:v>threshold_5_alerts_per_1000</x:v>
      </x:c>
      <x:c r="C153" s="16" t="n">
        <x:v>892.539621</x:v>
      </x:c>
      <x:c r="D153" s="16" t="n">
        <x:v>755.315037</x:v>
      </x:c>
      <x:c r="E153" s="16" t="n">
        <x:v>971.395439</x:v>
      </x:c>
      <x:c r="F153" s="10" t="n">
        <x:v>1000</x:v>
      </x:c>
    </x:row>
    <x:row r="154" ht="30" customHeight="1">
      <x:c r="A154" s="3" t="str">
        <x:v>target; k=0.5</x:v>
      </x:c>
      <x:c r="B154" s="3" t="str">
        <x:v>threshold_10_alerts</x:v>
      </x:c>
      <x:c r="C154" s="9" t="n">
        <x:v>980</x:v>
      </x:c>
      <x:c r="D154" s="15" t="n">
        <x:v>754.975</x:v>
      </x:c>
      <x:c r="E154" s="15" t="n">
        <x:v>1259.05</x:v>
      </x:c>
      <x:c r="F154" s="9" t="n">
        <x:v>1000</x:v>
      </x:c>
    </x:row>
    <x:row r="155" ht="36" customHeight="1">
      <x:c r="A155" s="7" t="str">
        <x:v>target; k=0.5</x:v>
      </x:c>
      <x:c r="B155" s="7" t="str">
        <x:v>threshold_10_alerts_per_1000</x:v>
      </x:c>
      <x:c r="C155" s="16" t="n">
        <x:v>378.817163</x:v>
      </x:c>
      <x:c r="D155" s="16" t="n">
        <x:v>291.834171</x:v>
      </x:c>
      <x:c r="E155" s="16" t="n">
        <x:v>486.683417</x:v>
      </x:c>
      <x:c r="F155" s="10" t="n">
        <x:v>1000</x:v>
      </x:c>
    </x:row>
    <x:row r="156" ht="30" customHeight="1">
      <x:c r="A156" s="3" t="str">
        <x:v>target; k=0.5</x:v>
      </x:c>
      <x:c r="B156" s="3" t="str">
        <x:v>threshold_20_alerts</x:v>
      </x:c>
      <x:c r="C156" s="9" t="n">
        <x:v>226</x:v>
      </x:c>
      <x:c r="D156" s="9" t="n">
        <x:v>168</x:v>
      </x:c>
      <x:c r="E156" s="15" t="n">
        <x:v>298.05</x:v>
      </x:c>
      <x:c r="F156" s="9" t="n">
        <x:v>1000</x:v>
      </x:c>
    </x:row>
    <x:row r="157" ht="36" customHeight="1">
      <x:c r="A157" s="7" t="str">
        <x:v>target; k=0.5</x:v>
      </x:c>
      <x:c r="B157" s="7" t="str">
        <x:v>threshold_20_alerts_per_1000</x:v>
      </x:c>
      <x:c r="C157" s="16" t="n">
        <x:v>87.359876</x:v>
      </x:c>
      <x:c r="D157" s="16" t="n">
        <x:v>64.940085</x:v>
      </x:c>
      <x:c r="E157" s="16" t="n">
        <x:v>115.210669</x:v>
      </x:c>
      <x:c r="F157" s="10" t="n">
        <x:v>1000</x:v>
      </x:c>
    </x:row>
    <x:row r="158" ht="36" customHeight="1">
      <x:c r="A158" s="3" t="str">
        <x:v>target; k=0.667</x:v>
      </x:c>
      <x:c r="B158" s="3" t="str">
        <x:v>update_alpha</x:v>
      </x:c>
      <x:c r="C158" s="15" t="n">
        <x:v>0.206568</x:v>
      </x:c>
      <x:c r="D158" s="15" t="n">
        <x:v>-0.239357</x:v>
      </x:c>
      <x:c r="E158" s="15" t="n">
        <x:v>0.644484</x:v>
      </x:c>
      <x:c r="F158" s="9" t="n">
        <x:v>1000</x:v>
      </x:c>
    </x:row>
    <x:row r="159" ht="36" customHeight="1">
      <x:c r="A159" s="7" t="str">
        <x:v>target; k=0.667</x:v>
      </x:c>
      <x:c r="B159" s="7" t="str">
        <x:v>update_beta</x:v>
      </x:c>
      <x:c r="C159" s="16" t="n">
        <x:v>0.890956</x:v>
      </x:c>
      <x:c r="D159" s="16" t="n">
        <x:v>0.715289</x:v>
      </x:c>
      <x:c r="E159" s="16" t="n">
        <x:v>1.073552</x:v>
      </x:c>
      <x:c r="F159" s="10" t="n">
        <x:v>1000</x:v>
      </x:c>
    </x:row>
    <x:row r="160" ht="36" customHeight="1">
      <x:c r="A160" s="3" t="str">
        <x:v>target; k=0.667</x:v>
      </x:c>
      <x:c r="B160" s="3" t="str">
        <x:v>target_oe_ratio</x:v>
      </x:c>
      <x:c r="C160" s="15" t="n">
        <x:v>0.990914</x:v>
      </x:c>
      <x:c r="D160" s="15" t="n">
        <x:v>0.846327</x:v>
      </x:c>
      <x:c r="E160" s="15" t="n">
        <x:v>1.151662</x:v>
      </x:c>
      <x:c r="F160" s="9" t="n">
        <x:v>1000</x:v>
      </x:c>
    </x:row>
    <x:row r="161" ht="36" customHeight="1">
      <x:c r="A161" s="7" t="str">
        <x:v>target; k=0.667</x:v>
      </x:c>
      <x:c r="B161" s="7" t="str">
        <x:v>target_calibration_slope</x:v>
      </x:c>
      <x:c r="C161" s="16" t="n">
        <x:v>0.896714</x:v>
      </x:c>
      <x:c r="D161" s="16" t="n">
        <x:v>0.698133</x:v>
      </x:c>
      <x:c r="E161" s="16" t="n">
        <x:v>1.160838</x:v>
      </x:c>
      <x:c r="F161" s="10" t="n">
        <x:v>1000</x:v>
      </x:c>
    </x:row>
    <x:row r="162" ht="36" customHeight="1">
      <x:c r="A162" s="3" t="str">
        <x:v>target; k=0.667</x:v>
      </x:c>
      <x:c r="B162" s="3" t="str">
        <x:v>target_auroc</x:v>
      </x:c>
      <x:c r="C162" s="15" t="n">
        <x:v>0.674791</x:v>
      </x:c>
      <x:c r="D162" s="15" t="n">
        <x:v>0.636853</x:v>
      </x:c>
      <x:c r="E162" s="15" t="n">
        <x:v>0.716464</x:v>
      </x:c>
      <x:c r="F162" s="9" t="n">
        <x:v>1000</x:v>
      </x:c>
    </x:row>
    <x:row r="163" ht="36" customHeight="1">
      <x:c r="A163" s="7" t="str">
        <x:v>target; k=0.667</x:v>
      </x:c>
      <x:c r="B163" s="7" t="str">
        <x:v>target_brier</x:v>
      </x:c>
      <x:c r="C163" s="16" t="n">
        <x:v>0.092101</x:v>
      </x:c>
      <x:c r="D163" s="16" t="n">
        <x:v>0.083235</x:v>
      </x:c>
      <x:c r="E163" s="16" t="n">
        <x:v>0.101282</x:v>
      </x:c>
      <x:c r="F163" s="10" t="n">
        <x:v>1000</x:v>
      </x:c>
    </x:row>
    <x:row r="164" ht="36" customHeight="1">
      <x:c r="A164" s="3" t="str">
        <x:v>target; k=0.667</x:v>
      </x:c>
      <x:c r="B164" s="3" t="str">
        <x:v>threshold_5_alerts</x:v>
      </x:c>
      <x:c r="C164" s="9" t="n">
        <x:v>2309</x:v>
      </x:c>
      <x:c r="D164" s="9" t="n">
        <x:v>1954</x:v>
      </x:c>
      <x:c r="E164" s="9" t="n">
        <x:v>2513</x:v>
      </x:c>
      <x:c r="F164" s="9" t="n">
        <x:v>1000</x:v>
      </x:c>
    </x:row>
    <x:row r="165" ht="36" customHeight="1">
      <x:c r="A165" s="7" t="str">
        <x:v>target; k=0.667</x:v>
      </x:c>
      <x:c r="B165" s="7" t="str">
        <x:v>threshold_5_alerts_per_1000</x:v>
      </x:c>
      <x:c r="C165" s="16" t="n">
        <x:v>892.539621</x:v>
      </x:c>
      <x:c r="D165" s="16" t="n">
        <x:v>755.315037</x:v>
      </x:c>
      <x:c r="E165" s="16" t="n">
        <x:v>971.395439</x:v>
      </x:c>
      <x:c r="F165" s="10" t="n">
        <x:v>1000</x:v>
      </x:c>
    </x:row>
    <x:row r="166" ht="36" customHeight="1">
      <x:c r="A166" s="3" t="str">
        <x:v>target; k=0.667</x:v>
      </x:c>
      <x:c r="B166" s="3" t="str">
        <x:v>threshold_10_alerts</x:v>
      </x:c>
      <x:c r="C166" s="9" t="n">
        <x:v>980</x:v>
      </x:c>
      <x:c r="D166" s="15" t="n">
        <x:v>754.975</x:v>
      </x:c>
      <x:c r="E166" s="15" t="n">
        <x:v>1259.05</x:v>
      </x:c>
      <x:c r="F166" s="9" t="n">
        <x:v>1000</x:v>
      </x:c>
    </x:row>
    <x:row r="167" ht="36" customHeight="1">
      <x:c r="A167" s="7" t="str">
        <x:v>target; k=0.667</x:v>
      </x:c>
      <x:c r="B167" s="7" t="str">
        <x:v>threshold_10_alerts_per_1000</x:v>
      </x:c>
      <x:c r="C167" s="16" t="n">
        <x:v>378.817163</x:v>
      </x:c>
      <x:c r="D167" s="16" t="n">
        <x:v>291.834171</x:v>
      </x:c>
      <x:c r="E167" s="16" t="n">
        <x:v>486.683417</x:v>
      </x:c>
      <x:c r="F167" s="10" t="n">
        <x:v>1000</x:v>
      </x:c>
    </x:row>
    <x:row r="168" ht="36" customHeight="1">
      <x:c r="A168" s="3" t="str">
        <x:v>target; k=0.667</x:v>
      </x:c>
      <x:c r="B168" s="3" t="str">
        <x:v>threshold_20_alerts</x:v>
      </x:c>
      <x:c r="C168" s="9" t="n">
        <x:v>226</x:v>
      </x:c>
      <x:c r="D168" s="9" t="n">
        <x:v>168</x:v>
      </x:c>
      <x:c r="E168" s="15" t="n">
        <x:v>298.05</x:v>
      </x:c>
      <x:c r="F168" s="9" t="n">
        <x:v>1000</x:v>
      </x:c>
    </x:row>
    <x:row r="169" ht="36" customHeight="1">
      <x:c r="A169" s="7" t="str">
        <x:v>target; k=0.667</x:v>
      </x:c>
      <x:c r="B169" s="7" t="str">
        <x:v>threshold_20_alerts_per_1000</x:v>
      </x:c>
      <x:c r="C169" s="16" t="n">
        <x:v>87.359876</x:v>
      </x:c>
      <x:c r="D169" s="16" t="n">
        <x:v>64.940085</x:v>
      </x:c>
      <x:c r="E169" s="16" t="n">
        <x:v>115.210669</x:v>
      </x:c>
      <x:c r="F169" s="10" t="n">
        <x:v>1000</x:v>
      </x:c>
    </x:row>
    <x:row r="170" ht="30" customHeight="1">
      <x:c r="A170" s="3" t="str">
        <x:v>target; k=1</x:v>
      </x:c>
      <x:c r="B170" s="3" t="str">
        <x:v>update_alpha</x:v>
      </x:c>
      <x:c r="C170" s="15" t="n">
        <x:v>0.206568</x:v>
      </x:c>
      <x:c r="D170" s="15" t="n">
        <x:v>-0.239357</x:v>
      </x:c>
      <x:c r="E170" s="15" t="n">
        <x:v>0.644484</x:v>
      </x:c>
      <x:c r="F170" s="9" t="n">
        <x:v>1000</x:v>
      </x:c>
    </x:row>
    <x:row r="171" ht="30" customHeight="1">
      <x:c r="A171" s="7" t="str">
        <x:v>target; k=1</x:v>
      </x:c>
      <x:c r="B171" s="7" t="str">
        <x:v>update_beta</x:v>
      </x:c>
      <x:c r="C171" s="16" t="n">
        <x:v>0.890956</x:v>
      </x:c>
      <x:c r="D171" s="16" t="n">
        <x:v>0.715289</x:v>
      </x:c>
      <x:c r="E171" s="16" t="n">
        <x:v>1.073552</x:v>
      </x:c>
      <x:c r="F171" s="10" t="n">
        <x:v>1000</x:v>
      </x:c>
    </x:row>
    <x:row r="172" ht="30" customHeight="1">
      <x:c r="A172" s="3" t="str">
        <x:v>target; k=1</x:v>
      </x:c>
      <x:c r="B172" s="3" t="str">
        <x:v>target_oe_ratio</x:v>
      </x:c>
      <x:c r="C172" s="15" t="n">
        <x:v>1.026788</x:v>
      </x:c>
      <x:c r="D172" s="15" t="n">
        <x:v>0.874571</x:v>
      </x:c>
      <x:c r="E172" s="15" t="n">
        <x:v>1.193366</x:v>
      </x:c>
      <x:c r="F172" s="9" t="n">
        <x:v>1000</x:v>
      </x:c>
    </x:row>
    <x:row r="173" ht="30" customHeight="1">
      <x:c r="A173" s="7" t="str">
        <x:v>target; k=1</x:v>
      </x:c>
      <x:c r="B173" s="7" t="str">
        <x:v>target_calibration_slope</x:v>
      </x:c>
      <x:c r="C173" s="16" t="n">
        <x:v>0.871933</x:v>
      </x:c>
      <x:c r="D173" s="16" t="n">
        <x:v>0.671888</x:v>
      </x:c>
      <x:c r="E173" s="16" t="n">
        <x:v>1.137784</x:v>
      </x:c>
      <x:c r="F173" s="10" t="n">
        <x:v>1000</x:v>
      </x:c>
    </x:row>
    <x:row r="174" ht="30" customHeight="1">
      <x:c r="A174" s="3" t="str">
        <x:v>target; k=1</x:v>
      </x:c>
      <x:c r="B174" s="3" t="str">
        <x:v>target_auroc</x:v>
      </x:c>
      <x:c r="C174" s="15" t="n">
        <x:v>0.667888</x:v>
      </x:c>
      <x:c r="D174" s="15" t="n">
        <x:v>0.629255</x:v>
      </x:c>
      <x:c r="E174" s="15" t="n">
        <x:v>0.709289</x:v>
      </x:c>
      <x:c r="F174" s="9" t="n">
        <x:v>1000</x:v>
      </x:c>
    </x:row>
    <x:row r="175" ht="30" customHeight="1">
      <x:c r="A175" s="7" t="str">
        <x:v>target; k=1</x:v>
      </x:c>
      <x:c r="B175" s="7" t="str">
        <x:v>target_brier</x:v>
      </x:c>
      <x:c r="C175" s="16" t="n">
        <x:v>0.095216</x:v>
      </x:c>
      <x:c r="D175" s="16" t="n">
        <x:v>0.085878</x:v>
      </x:c>
      <x:c r="E175" s="16" t="n">
        <x:v>0.104726</x:v>
      </x:c>
      <x:c r="F175" s="10" t="n">
        <x:v>1000</x:v>
      </x:c>
    </x:row>
    <x:row r="176" ht="30" customHeight="1">
      <x:c r="A176" s="3" t="str">
        <x:v>target; k=1</x:v>
      </x:c>
      <x:c r="B176" s="3" t="str">
        <x:v>threshold_5_alerts</x:v>
      </x:c>
      <x:c r="C176" s="9" t="n">
        <x:v>2309</x:v>
      </x:c>
      <x:c r="D176" s="9" t="n">
        <x:v>1954</x:v>
      </x:c>
      <x:c r="E176" s="9" t="n">
        <x:v>2513</x:v>
      </x:c>
      <x:c r="F176" s="9" t="n">
        <x:v>1000</x:v>
      </x:c>
    </x:row>
    <x:row r="177" ht="36" customHeight="1">
      <x:c r="A177" s="7" t="str">
        <x:v>target; k=1</x:v>
      </x:c>
      <x:c r="B177" s="7" t="str">
        <x:v>threshold_5_alerts_per_1000</x:v>
      </x:c>
      <x:c r="C177" s="16" t="n">
        <x:v>892.539621</x:v>
      </x:c>
      <x:c r="D177" s="16" t="n">
        <x:v>755.315037</x:v>
      </x:c>
      <x:c r="E177" s="16" t="n">
        <x:v>971.395439</x:v>
      </x:c>
      <x:c r="F177" s="10" t="n">
        <x:v>1000</x:v>
      </x:c>
    </x:row>
    <x:row r="178" ht="30" customHeight="1">
      <x:c r="A178" s="3" t="str">
        <x:v>target; k=1</x:v>
      </x:c>
      <x:c r="B178" s="3" t="str">
        <x:v>threshold_10_alerts</x:v>
      </x:c>
      <x:c r="C178" s="9" t="n">
        <x:v>980</x:v>
      </x:c>
      <x:c r="D178" s="15" t="n">
        <x:v>754.975</x:v>
      </x:c>
      <x:c r="E178" s="15" t="n">
        <x:v>1259.05</x:v>
      </x:c>
      <x:c r="F178" s="9" t="n">
        <x:v>1000</x:v>
      </x:c>
    </x:row>
    <x:row r="179" ht="36" customHeight="1">
      <x:c r="A179" s="7" t="str">
        <x:v>target; k=1</x:v>
      </x:c>
      <x:c r="B179" s="7" t="str">
        <x:v>threshold_10_alerts_per_1000</x:v>
      </x:c>
      <x:c r="C179" s="16" t="n">
        <x:v>378.817163</x:v>
      </x:c>
      <x:c r="D179" s="16" t="n">
        <x:v>291.834171</x:v>
      </x:c>
      <x:c r="E179" s="16" t="n">
        <x:v>486.683417</x:v>
      </x:c>
      <x:c r="F179" s="10" t="n">
        <x:v>1000</x:v>
      </x:c>
    </x:row>
    <x:row r="180" ht="30" customHeight="1">
      <x:c r="A180" s="3" t="str">
        <x:v>target; k=1</x:v>
      </x:c>
      <x:c r="B180" s="3" t="str">
        <x:v>threshold_20_alerts</x:v>
      </x:c>
      <x:c r="C180" s="9" t="n">
        <x:v>226</x:v>
      </x:c>
      <x:c r="D180" s="9" t="n">
        <x:v>168</x:v>
      </x:c>
      <x:c r="E180" s="15" t="n">
        <x:v>298.05</x:v>
      </x:c>
      <x:c r="F180" s="9" t="n">
        <x:v>1000</x:v>
      </x:c>
    </x:row>
    <x:row r="181" ht="36" customHeight="1">
      <x:c r="A181" s="7" t="str">
        <x:v>target; k=1</x:v>
      </x:c>
      <x:c r="B181" s="7" t="str">
        <x:v>threshold_20_alerts_per_1000</x:v>
      </x:c>
      <x:c r="C181" s="16" t="n">
        <x:v>87.359876</x:v>
      </x:c>
      <x:c r="D181" s="16" t="n">
        <x:v>64.940085</x:v>
      </x:c>
      <x:c r="E181" s="16" t="n">
        <x:v>115.210669</x:v>
      </x:c>
      <x:c r="F181" s="10" t="n">
        <x:v>1000</x:v>
      </x:c>
    </x:row>
    <x:row r="182" ht="30" customHeight="1">
      <x:c r="A182" s="3" t="str">
        <x:v>target; k=1.5</x:v>
      </x:c>
      <x:c r="B182" s="3" t="str">
        <x:v>update_alpha</x:v>
      </x:c>
      <x:c r="C182" s="15" t="n">
        <x:v>0.206568</x:v>
      </x:c>
      <x:c r="D182" s="15" t="n">
        <x:v>-0.239357</x:v>
      </x:c>
      <x:c r="E182" s="15" t="n">
        <x:v>0.644484</x:v>
      </x:c>
      <x:c r="F182" s="9" t="n">
        <x:v>1000</x:v>
      </x:c>
    </x:row>
    <x:row r="183" ht="30" customHeight="1">
      <x:c r="A183" s="7" t="str">
        <x:v>target; k=1.5</x:v>
      </x:c>
      <x:c r="B183" s="7" t="str">
        <x:v>update_beta</x:v>
      </x:c>
      <x:c r="C183" s="16" t="n">
        <x:v>0.890956</x:v>
      </x:c>
      <x:c r="D183" s="16" t="n">
        <x:v>0.715289</x:v>
      </x:c>
      <x:c r="E183" s="16" t="n">
        <x:v>1.073552</x:v>
      </x:c>
      <x:c r="F183" s="10" t="n">
        <x:v>1000</x:v>
      </x:c>
    </x:row>
    <x:row r="184" ht="30" customHeight="1">
      <x:c r="A184" s="3" t="str">
        <x:v>target; k=1.5</x:v>
      </x:c>
      <x:c r="B184" s="3" t="str">
        <x:v>target_oe_ratio</x:v>
      </x:c>
      <x:c r="C184" s="15" t="n">
        <x:v>1.075715</x:v>
      </x:c>
      <x:c r="D184" s="15" t="n">
        <x:v>0.917513</x:v>
      </x:c>
      <x:c r="E184" s="15" t="n">
        <x:v>1.250307</x:v>
      </x:c>
      <x:c r="F184" s="9" t="n">
        <x:v>1000</x:v>
      </x:c>
    </x:row>
    <x:row r="185" ht="30" customHeight="1">
      <x:c r="A185" s="7" t="str">
        <x:v>target; k=1.5</x:v>
      </x:c>
      <x:c r="B185" s="7" t="str">
        <x:v>target_calibration_slope</x:v>
      </x:c>
      <x:c r="C185" s="16" t="n">
        <x:v>0.836677</x:v>
      </x:c>
      <x:c r="D185" s="16" t="n">
        <x:v>0.637337</x:v>
      </x:c>
      <x:c r="E185" s="16" t="n">
        <x:v>1.096948</x:v>
      </x:c>
      <x:c r="F185" s="10" t="n">
        <x:v>1000</x:v>
      </x:c>
    </x:row>
    <x:row r="186" ht="30" customHeight="1">
      <x:c r="A186" s="3" t="str">
        <x:v>target; k=1.5</x:v>
      </x:c>
      <x:c r="B186" s="3" t="str">
        <x:v>target_auroc</x:v>
      </x:c>
      <x:c r="C186" s="15" t="n">
        <x:v>0.658366</x:v>
      </x:c>
      <x:c r="D186" s="15" t="n">
        <x:v>0.620077</x:v>
      </x:c>
      <x:c r="E186" s="15" t="n">
        <x:v>0.699073</x:v>
      </x:c>
      <x:c r="F186" s="9" t="n">
        <x:v>1000</x:v>
      </x:c>
    </x:row>
    <x:row r="187" ht="30" customHeight="1">
      <x:c r="A187" s="7" t="str">
        <x:v>target; k=1.5</x:v>
      </x:c>
      <x:c r="B187" s="7" t="str">
        <x:v>target_brier</x:v>
      </x:c>
      <x:c r="C187" s="16" t="n">
        <x:v>0.099518</x:v>
      </x:c>
      <x:c r="D187" s="16" t="n">
        <x:v>0.08939</x:v>
      </x:c>
      <x:c r="E187" s="16" t="n">
        <x:v>0.109423</x:v>
      </x:c>
      <x:c r="F187" s="10" t="n">
        <x:v>1000</x:v>
      </x:c>
    </x:row>
    <x:row r="188" ht="30" customHeight="1">
      <x:c r="A188" s="3" t="str">
        <x:v>target; k=1.5</x:v>
      </x:c>
      <x:c r="B188" s="3" t="str">
        <x:v>threshold_5_alerts</x:v>
      </x:c>
      <x:c r="C188" s="9" t="n">
        <x:v>2309</x:v>
      </x:c>
      <x:c r="D188" s="9" t="n">
        <x:v>1954</x:v>
      </x:c>
      <x:c r="E188" s="9" t="n">
        <x:v>2513</x:v>
      </x:c>
      <x:c r="F188" s="9" t="n">
        <x:v>1000</x:v>
      </x:c>
    </x:row>
    <x:row r="189" ht="36" customHeight="1">
      <x:c r="A189" s="7" t="str">
        <x:v>target; k=1.5</x:v>
      </x:c>
      <x:c r="B189" s="7" t="str">
        <x:v>threshold_5_alerts_per_1000</x:v>
      </x:c>
      <x:c r="C189" s="16" t="n">
        <x:v>892.539621</x:v>
      </x:c>
      <x:c r="D189" s="16" t="n">
        <x:v>755.315037</x:v>
      </x:c>
      <x:c r="E189" s="16" t="n">
        <x:v>971.395439</x:v>
      </x:c>
      <x:c r="F189" s="10" t="n">
        <x:v>1000</x:v>
      </x:c>
    </x:row>
    <x:row r="190" ht="30" customHeight="1">
      <x:c r="A190" s="3" t="str">
        <x:v>target; k=1.5</x:v>
      </x:c>
      <x:c r="B190" s="3" t="str">
        <x:v>threshold_10_alerts</x:v>
      </x:c>
      <x:c r="C190" s="9" t="n">
        <x:v>980</x:v>
      </x:c>
      <x:c r="D190" s="15" t="n">
        <x:v>754.975</x:v>
      </x:c>
      <x:c r="E190" s="15" t="n">
        <x:v>1259.05</x:v>
      </x:c>
      <x:c r="F190" s="9" t="n">
        <x:v>1000</x:v>
      </x:c>
    </x:row>
    <x:row r="191" ht="36" customHeight="1">
      <x:c r="A191" s="7" t="str">
        <x:v>target; k=1.5</x:v>
      </x:c>
      <x:c r="B191" s="7" t="str">
        <x:v>threshold_10_alerts_per_1000</x:v>
      </x:c>
      <x:c r="C191" s="16" t="n">
        <x:v>378.817163</x:v>
      </x:c>
      <x:c r="D191" s="16" t="n">
        <x:v>291.834171</x:v>
      </x:c>
      <x:c r="E191" s="16" t="n">
        <x:v>486.683417</x:v>
      </x:c>
      <x:c r="F191" s="10" t="n">
        <x:v>1000</x:v>
      </x:c>
    </x:row>
    <x:row r="192" ht="30" customHeight="1">
      <x:c r="A192" s="3" t="str">
        <x:v>target; k=1.5</x:v>
      </x:c>
      <x:c r="B192" s="3" t="str">
        <x:v>threshold_20_alerts</x:v>
      </x:c>
      <x:c r="C192" s="9" t="n">
        <x:v>226</x:v>
      </x:c>
      <x:c r="D192" s="9" t="n">
        <x:v>168</x:v>
      </x:c>
      <x:c r="E192" s="15" t="n">
        <x:v>298.05</x:v>
      </x:c>
      <x:c r="F192" s="9" t="n">
        <x:v>1000</x:v>
      </x:c>
    </x:row>
    <x:row r="193" ht="36" customHeight="1">
      <x:c r="A193" s="7" t="str">
        <x:v>target; k=1.5</x:v>
      </x:c>
      <x:c r="B193" s="7" t="str">
        <x:v>threshold_20_alerts_per_1000</x:v>
      </x:c>
      <x:c r="C193" s="16" t="n">
        <x:v>87.359876</x:v>
      </x:c>
      <x:c r="D193" s="16" t="n">
        <x:v>64.940085</x:v>
      </x:c>
      <x:c r="E193" s="16" t="n">
        <x:v>115.210669</x:v>
      </x:c>
      <x:c r="F193" s="10" t="n">
        <x:v>1000</x:v>
      </x:c>
    </x:row>
    <x:row r="194" ht="30" customHeight="1">
      <x:c r="A194" s="3" t="str">
        <x:v>target; k=2</x:v>
      </x:c>
      <x:c r="B194" s="3" t="str">
        <x:v>update_alpha</x:v>
      </x:c>
      <x:c r="C194" s="15" t="n">
        <x:v>0.206568</x:v>
      </x:c>
      <x:c r="D194" s="15" t="n">
        <x:v>-0.239357</x:v>
      </x:c>
      <x:c r="E194" s="15" t="n">
        <x:v>0.644484</x:v>
      </x:c>
      <x:c r="F194" s="9" t="n">
        <x:v>1000</x:v>
      </x:c>
    </x:row>
    <x:row r="195" ht="30" customHeight="1">
      <x:c r="A195" s="7" t="str">
        <x:v>target; k=2</x:v>
      </x:c>
      <x:c r="B195" s="7" t="str">
        <x:v>update_beta</x:v>
      </x:c>
      <x:c r="C195" s="16" t="n">
        <x:v>0.890956</x:v>
      </x:c>
      <x:c r="D195" s="16" t="n">
        <x:v>0.715289</x:v>
      </x:c>
      <x:c r="E195" s="16" t="n">
        <x:v>1.073552</x:v>
      </x:c>
      <x:c r="F195" s="10" t="n">
        <x:v>1000</x:v>
      </x:c>
    </x:row>
    <x:row r="196" ht="30" customHeight="1">
      <x:c r="A196" s="3" t="str">
        <x:v>target; k=2</x:v>
      </x:c>
      <x:c r="B196" s="3" t="str">
        <x:v>target_oe_ratio</x:v>
      </x:c>
      <x:c r="C196" s="15" t="n">
        <x:v>1.120098</x:v>
      </x:c>
      <x:c r="D196" s="15" t="n">
        <x:v>0.958242</x:v>
      </x:c>
      <x:c r="E196" s="15" t="n">
        <x:v>1.29691</x:v>
      </x:c>
      <x:c r="F196" s="9" t="n">
        <x:v>1000</x:v>
      </x:c>
    </x:row>
    <x:row r="197" ht="30" customHeight="1">
      <x:c r="A197" s="7" t="str">
        <x:v>target; k=2</x:v>
      </x:c>
      <x:c r="B197" s="7" t="str">
        <x:v>target_calibration_slope</x:v>
      </x:c>
      <x:c r="C197" s="16" t="n">
        <x:v>0.803976</x:v>
      </x:c>
      <x:c r="D197" s="16" t="n">
        <x:v>0.605613</x:v>
      </x:c>
      <x:c r="E197" s="16" t="n">
        <x:v>1.060282</x:v>
      </x:c>
      <x:c r="F197" s="10" t="n">
        <x:v>1000</x:v>
      </x:c>
    </x:row>
    <x:row r="198" ht="30" customHeight="1">
      <x:c r="A198" s="3" t="str">
        <x:v>target; k=2</x:v>
      </x:c>
      <x:c r="B198" s="3" t="str">
        <x:v>target_auroc</x:v>
      </x:c>
      <x:c r="C198" s="15" t="n">
        <x:v>0.649767</x:v>
      </x:c>
      <x:c r="D198" s="15" t="n">
        <x:v>0.611527</x:v>
      </x:c>
      <x:c r="E198" s="15" t="n">
        <x:v>0.690792</x:v>
      </x:c>
      <x:c r="F198" s="9" t="n">
        <x:v>1000</x:v>
      </x:c>
    </x:row>
    <x:row r="199" ht="30" customHeight="1">
      <x:c r="A199" s="7" t="str">
        <x:v>target; k=2</x:v>
      </x:c>
      <x:c r="B199" s="7" t="str">
        <x:v>target_brier</x:v>
      </x:c>
      <x:c r="C199" s="16" t="n">
        <x:v>0.103464</x:v>
      </x:c>
      <x:c r="D199" s="16" t="n">
        <x:v>0.092546</x:v>
      </x:c>
      <x:c r="E199" s="16" t="n">
        <x:v>0.113788</x:v>
      </x:c>
      <x:c r="F199" s="10" t="n">
        <x:v>1000</x:v>
      </x:c>
    </x:row>
    <x:row r="200" ht="30" customHeight="1">
      <x:c r="A200" s="3" t="str">
        <x:v>target; k=2</x:v>
      </x:c>
      <x:c r="B200" s="3" t="str">
        <x:v>threshold_5_alerts</x:v>
      </x:c>
      <x:c r="C200" s="9" t="n">
        <x:v>2309</x:v>
      </x:c>
      <x:c r="D200" s="9" t="n">
        <x:v>1954</x:v>
      </x:c>
      <x:c r="E200" s="9" t="n">
        <x:v>2513</x:v>
      </x:c>
      <x:c r="F200" s="9" t="n">
        <x:v>1000</x:v>
      </x:c>
    </x:row>
    <x:row r="201" ht="36" customHeight="1">
      <x:c r="A201" s="7" t="str">
        <x:v>target; k=2</x:v>
      </x:c>
      <x:c r="B201" s="7" t="str">
        <x:v>threshold_5_alerts_per_1000</x:v>
      </x:c>
      <x:c r="C201" s="16" t="n">
        <x:v>892.539621</x:v>
      </x:c>
      <x:c r="D201" s="16" t="n">
        <x:v>755.315037</x:v>
      </x:c>
      <x:c r="E201" s="16" t="n">
        <x:v>971.395439</x:v>
      </x:c>
      <x:c r="F201" s="10" t="n">
        <x:v>1000</x:v>
      </x:c>
    </x:row>
    <x:row r="202" ht="30" customHeight="1">
      <x:c r="A202" s="3" t="str">
        <x:v>target; k=2</x:v>
      </x:c>
      <x:c r="B202" s="3" t="str">
        <x:v>threshold_10_alerts</x:v>
      </x:c>
      <x:c r="C202" s="9" t="n">
        <x:v>980</x:v>
      </x:c>
      <x:c r="D202" s="15" t="n">
        <x:v>754.975</x:v>
      </x:c>
      <x:c r="E202" s="15" t="n">
        <x:v>1259.05</x:v>
      </x:c>
      <x:c r="F202" s="9" t="n">
        <x:v>1000</x:v>
      </x:c>
    </x:row>
    <x:row r="203" ht="36" customHeight="1">
      <x:c r="A203" s="7" t="str">
        <x:v>target; k=2</x:v>
      </x:c>
      <x:c r="B203" s="7" t="str">
        <x:v>threshold_10_alerts_per_1000</x:v>
      </x:c>
      <x:c r="C203" s="16" t="n">
        <x:v>378.817163</x:v>
      </x:c>
      <x:c r="D203" s="16" t="n">
        <x:v>291.834171</x:v>
      </x:c>
      <x:c r="E203" s="16" t="n">
        <x:v>486.683417</x:v>
      </x:c>
      <x:c r="F203" s="10" t="n">
        <x:v>1000</x:v>
      </x:c>
    </x:row>
    <x:row r="204" ht="30" customHeight="1">
      <x:c r="A204" s="3" t="str">
        <x:v>target; k=2</x:v>
      </x:c>
      <x:c r="B204" s="3" t="str">
        <x:v>threshold_20_alerts</x:v>
      </x:c>
      <x:c r="C204" s="9" t="n">
        <x:v>226</x:v>
      </x:c>
      <x:c r="D204" s="9" t="n">
        <x:v>168</x:v>
      </x:c>
      <x:c r="E204" s="15" t="n">
        <x:v>298.05</x:v>
      </x:c>
      <x:c r="F204" s="9" t="n">
        <x:v>1000</x:v>
      </x:c>
    </x:row>
    <x:row r="205" ht="36" customHeight="1">
      <x:c r="A205" s="7" t="str">
        <x:v>target; k=2</x:v>
      </x:c>
      <x:c r="B205" s="7" t="str">
        <x:v>threshold_20_alerts_per_1000</x:v>
      </x:c>
      <x:c r="C205" s="16" t="n">
        <x:v>87.359876</x:v>
      </x:c>
      <x:c r="D205" s="16" t="n">
        <x:v>64.940085</x:v>
      </x:c>
      <x:c r="E205" s="16" t="n">
        <x:v>115.210669</x:v>
      </x:c>
      <x:c r="F205" s="10" t="n">
        <x:v>1000</x:v>
      </x:c>
    </x:row>
    <x:row r="206" ht="30" customHeight="1">
      <x:c r="A206" s="3" t="str">
        <x:v>target; k=3</x:v>
      </x:c>
      <x:c r="B206" s="3" t="str">
        <x:v>update_alpha</x:v>
      </x:c>
      <x:c r="C206" s="15" t="n">
        <x:v>0.206568</x:v>
      </x:c>
      <x:c r="D206" s="15" t="n">
        <x:v>-0.239357</x:v>
      </x:c>
      <x:c r="E206" s="15" t="n">
        <x:v>0.644484</x:v>
      </x:c>
      <x:c r="F206" s="9" t="n">
        <x:v>1000</x:v>
      </x:c>
    </x:row>
    <x:row r="207" ht="30" customHeight="1">
      <x:c r="A207" s="7" t="str">
        <x:v>target; k=3</x:v>
      </x:c>
      <x:c r="B207" s="7" t="str">
        <x:v>update_beta</x:v>
      </x:c>
      <x:c r="C207" s="16" t="n">
        <x:v>0.890956</x:v>
      </x:c>
      <x:c r="D207" s="16" t="n">
        <x:v>0.715289</x:v>
      </x:c>
      <x:c r="E207" s="16" t="n">
        <x:v>1.073552</x:v>
      </x:c>
      <x:c r="F207" s="10" t="n">
        <x:v>1000</x:v>
      </x:c>
    </x:row>
    <x:row r="208" ht="30" customHeight="1">
      <x:c r="A208" s="3" t="str">
        <x:v>target; k=3</x:v>
      </x:c>
      <x:c r="B208" s="3" t="str">
        <x:v>target_oe_ratio</x:v>
      </x:c>
      <x:c r="C208" s="15" t="n">
        <x:v>1.198724</x:v>
      </x:c>
      <x:c r="D208" s="15" t="n">
        <x:v>1.020903</x:v>
      </x:c>
      <x:c r="E208" s="15" t="n">
        <x:v>1.388973</x:v>
      </x:c>
      <x:c r="F208" s="9" t="n">
        <x:v>1000</x:v>
      </x:c>
    </x:row>
    <x:row r="209" ht="30" customHeight="1">
      <x:c r="A209" s="7" t="str">
        <x:v>target; k=3</x:v>
      </x:c>
      <x:c r="B209" s="7" t="str">
        <x:v>target_calibration_slope</x:v>
      </x:c>
      <x:c r="C209" s="16" t="n">
        <x:v>0.745781</x:v>
      </x:c>
      <x:c r="D209" s="16" t="n">
        <x:v>0.549814</x:v>
      </x:c>
      <x:c r="E209" s="16" t="n">
        <x:v>0.996464</x:v>
      </x:c>
      <x:c r="F209" s="10" t="n">
        <x:v>1000</x:v>
      </x:c>
    </x:row>
    <x:row r="210" ht="30" customHeight="1">
      <x:c r="A210" s="3" t="str">
        <x:v>target; k=3</x:v>
      </x:c>
      <x:c r="B210" s="3" t="str">
        <x:v>target_auroc</x:v>
      </x:c>
      <x:c r="C210" s="15" t="n">
        <x:v>0.634887</x:v>
      </x:c>
      <x:c r="D210" s="15" t="n">
        <x:v>0.597155</x:v>
      </x:c>
      <x:c r="E210" s="15" t="n">
        <x:v>0.675312</x:v>
      </x:c>
      <x:c r="F210" s="9" t="n">
        <x:v>1000</x:v>
      </x:c>
    </x:row>
    <x:row r="211" ht="30" customHeight="1">
      <x:c r="A211" s="7" t="str">
        <x:v>target; k=3</x:v>
      </x:c>
      <x:c r="B211" s="7" t="str">
        <x:v>target_brier</x:v>
      </x:c>
      <x:c r="C211" s="16" t="n">
        <x:v>0.110529</x:v>
      </x:c>
      <x:c r="D211" s="16" t="n">
        <x:v>0.098185</x:v>
      </x:c>
      <x:c r="E211" s="16" t="n">
        <x:v>0.121984</x:v>
      </x:c>
      <x:c r="F211" s="10" t="n">
        <x:v>1000</x:v>
      </x:c>
    </x:row>
    <x:row r="212" ht="30" customHeight="1">
      <x:c r="A212" s="3" t="str">
        <x:v>target; k=3</x:v>
      </x:c>
      <x:c r="B212" s="3" t="str">
        <x:v>threshold_5_alerts</x:v>
      </x:c>
      <x:c r="C212" s="9" t="n">
        <x:v>2309</x:v>
      </x:c>
      <x:c r="D212" s="9" t="n">
        <x:v>1954</x:v>
      </x:c>
      <x:c r="E212" s="9" t="n">
        <x:v>2513</x:v>
      </x:c>
      <x:c r="F212" s="9" t="n">
        <x:v>1000</x:v>
      </x:c>
    </x:row>
    <x:row r="213" ht="36" customHeight="1">
      <x:c r="A213" s="7" t="str">
        <x:v>target; k=3</x:v>
      </x:c>
      <x:c r="B213" s="7" t="str">
        <x:v>threshold_5_alerts_per_1000</x:v>
      </x:c>
      <x:c r="C213" s="16" t="n">
        <x:v>892.539621</x:v>
      </x:c>
      <x:c r="D213" s="16" t="n">
        <x:v>755.315037</x:v>
      </x:c>
      <x:c r="E213" s="16" t="n">
        <x:v>971.395439</x:v>
      </x:c>
      <x:c r="F213" s="10" t="n">
        <x:v>1000</x:v>
      </x:c>
    </x:row>
    <x:row r="214" ht="30" customHeight="1">
      <x:c r="A214" s="3" t="str">
        <x:v>target; k=3</x:v>
      </x:c>
      <x:c r="B214" s="3" t="str">
        <x:v>threshold_10_alerts</x:v>
      </x:c>
      <x:c r="C214" s="9" t="n">
        <x:v>980</x:v>
      </x:c>
      <x:c r="D214" s="15" t="n">
        <x:v>754.975</x:v>
      </x:c>
      <x:c r="E214" s="15" t="n">
        <x:v>1259.05</x:v>
      </x:c>
      <x:c r="F214" s="9" t="n">
        <x:v>1000</x:v>
      </x:c>
    </x:row>
    <x:row r="215" ht="36" customHeight="1">
      <x:c r="A215" s="7" t="str">
        <x:v>target; k=3</x:v>
      </x:c>
      <x:c r="B215" s="7" t="str">
        <x:v>threshold_10_alerts_per_1000</x:v>
      </x:c>
      <x:c r="C215" s="16" t="n">
        <x:v>378.817163</x:v>
      </x:c>
      <x:c r="D215" s="16" t="n">
        <x:v>291.834171</x:v>
      </x:c>
      <x:c r="E215" s="16" t="n">
        <x:v>486.683417</x:v>
      </x:c>
      <x:c r="F215" s="10" t="n">
        <x:v>1000</x:v>
      </x:c>
    </x:row>
    <x:row r="216" ht="30" customHeight="1">
      <x:c r="A216" s="3" t="str">
        <x:v>target; k=3</x:v>
      </x:c>
      <x:c r="B216" s="3" t="str">
        <x:v>threshold_20_alerts</x:v>
      </x:c>
      <x:c r="C216" s="9" t="n">
        <x:v>226</x:v>
      </x:c>
      <x:c r="D216" s="9" t="n">
        <x:v>168</x:v>
      </x:c>
      <x:c r="E216" s="15" t="n">
        <x:v>298.05</x:v>
      </x:c>
      <x:c r="F216" s="9" t="n">
        <x:v>1000</x:v>
      </x:c>
    </x:row>
    <x:row r="217" ht="36" customHeight="1">
      <x:c r="A217" s="7" t="str">
        <x:v>target; k=3</x:v>
      </x:c>
      <x:c r="B217" s="7" t="str">
        <x:v>threshold_20_alerts_per_1000</x:v>
      </x:c>
      <x:c r="C217" s="16" t="n">
        <x:v>87.359876</x:v>
      </x:c>
      <x:c r="D217" s="16" t="n">
        <x:v>64.940085</x:v>
      </x:c>
      <x:c r="E217" s="16" t="n">
        <x:v>115.210669</x:v>
      </x:c>
      <x:c r="F217" s="10" t="n">
        <x:v>1000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64" customHeight="1">
      <x:c r="A1" s="6" t="str">
        <x:v>Rule</x:v>
      </x:c>
      <x:c r="B1" s="6" t="str">
        <x:v>Canonical</x:v>
      </x:c>
      <x:c r="C1" s="6" t="str">
        <x:v>Alpha</x:v>
      </x:c>
      <x:c r="D1" s="6" t="str">
        <x:v>Beta</x:v>
      </x:c>
      <x:c r="E1" s="6" t="str">
        <x:v>O/E</x:v>
      </x:c>
      <x:c r="F1" s="6" t="str">
        <x:v>Slope</x:v>
      </x:c>
      <x:c r="G1" s="6" t="str">
        <x:v>AUROC</x:v>
      </x:c>
      <x:c r="H1" s="6" t="str">
        <x:v>Brier</x:v>
      </x:c>
      <x:c r="I1" s="6" t="str">
        <x:v>Source ESS</x:v>
      </x:c>
      <x:c r="J1" s="6" t="str">
        <x:v>Update ESS</x:v>
      </x:c>
      <x:c r="K1" s="6" t="str">
        <x:v>Target ESS</x:v>
      </x:c>
      <x:c r="L1" s="6" t="str">
        <x:v>10% alerts</x:v>
      </x:c>
    </x:row>
    <x:row r="2" ht="30" customHeight="1">
      <x:c r="A2" s="3" t="str">
        <x:v>none</x:v>
      </x:c>
      <x:c r="B2" s="3" t="str">
        <x:v>No</x:v>
      </x:c>
      <x:c r="C2" s="11" t="n">
        <x:v>0.206</x:v>
      </x:c>
      <x:c r="D2" s="11" t="n">
        <x:v>0.891</x:v>
      </x:c>
      <x:c r="E2" s="11" t="n">
        <x:v>1.013</x:v>
      </x:c>
      <x:c r="F2" s="11" t="n">
        <x:v>0.893</x:v>
      </x:c>
      <x:c r="G2" s="11" t="n">
        <x:v>0.675</x:v>
      </x:c>
      <x:c r="H2" s="11" t="n">
        <x:v>0.0936</x:v>
      </x:c>
      <x:c r="I2" s="9" t="n">
        <x:v>21312</x:v>
      </x:c>
      <x:c r="J2" s="9" t="n">
        <x:v>2068</x:v>
      </x:c>
      <x:c r="K2" s="9" t="n">
        <x:v>1865</x:v>
      </x:c>
      <x:c r="L2" s="9" t="n">
        <x:v>980</x:v>
      </x:c>
    </x:row>
    <x:row r="3" ht="30" customHeight="1">
      <x:c r="A3" s="7" t="str">
        <x:v>0.5/99.5</x:v>
      </x:c>
      <x:c r="B3" s="7" t="str">
        <x:v>No</x:v>
      </x:c>
      <x:c r="C3" s="12" t="n">
        <x:v>0.213</x:v>
      </x:c>
      <x:c r="D3" s="12" t="n">
        <x:v>0.896</x:v>
      </x:c>
      <x:c r="E3" s="12" t="n">
        <x:v>1.013</x:v>
      </x:c>
      <x:c r="F3" s="12" t="n">
        <x:v>0.887</x:v>
      </x:c>
      <x:c r="G3" s="12" t="n">
        <x:v>0.675</x:v>
      </x:c>
      <x:c r="H3" s="12" t="n">
        <x:v>0.0936</x:v>
      </x:c>
      <x:c r="I3" s="10" t="n">
        <x:v>21587</x:v>
      </x:c>
      <x:c r="J3" s="10" t="n">
        <x:v>2072</x:v>
      </x:c>
      <x:c r="K3" s="10" t="n">
        <x:v>1871</x:v>
      </x:c>
      <x:c r="L3" s="10" t="n">
        <x:v>977</x:v>
      </x:c>
    </x:row>
    <x:row r="4" ht="30" customHeight="1">
      <x:c r="A4" s="3" t="str">
        <x:v>1/99</x:v>
      </x:c>
      <x:c r="B4" s="3" t="str">
        <x:v>Yes</x:v>
      </x:c>
      <x:c r="C4" s="11" t="n">
        <x:v>0.207</x:v>
      </x:c>
      <x:c r="D4" s="11" t="n">
        <x:v>0.891</x:v>
      </x:c>
      <x:c r="E4" s="11" t="n">
        <x:v>1.012</x:v>
      </x:c>
      <x:c r="F4" s="11" t="n">
        <x:v>0.884</x:v>
      </x:c>
      <x:c r="G4" s="11" t="n">
        <x:v>0.674</x:v>
      </x:c>
      <x:c r="H4" s="11" t="n">
        <x:v>0.0937</x:v>
      </x:c>
      <x:c r="I4" s="9" t="n">
        <x:v>21751</x:v>
      </x:c>
      <x:c r="J4" s="9" t="n">
        <x:v>2081</x:v>
      </x:c>
      <x:c r="K4" s="9" t="n">
        <x:v>1879</x:v>
      </x:c>
      <x:c r="L4" s="9" t="n">
        <x:v>980</x:v>
      </x:c>
    </x:row>
    <x:row r="5" ht="30" customHeight="1">
      <x:c r="A5" s="7" t="str">
        <x:v>2.5/97.5</x:v>
      </x:c>
      <x:c r="B5" s="7" t="str">
        <x:v>No</x:v>
      </x:c>
      <x:c r="C5" s="12" t="n">
        <x:v>0.201</x:v>
      </x:c>
      <x:c r="D5" s="12" t="n">
        <x:v>0.892</x:v>
      </x:c>
      <x:c r="E5" s="12" t="n">
        <x:v>1.01</x:v>
      </x:c>
      <x:c r="F5" s="12" t="n">
        <x:v>0.88</x:v>
      </x:c>
      <x:c r="G5" s="12" t="n">
        <x:v>0.67</x:v>
      </x:c>
      <x:c r="H5" s="12" t="n">
        <x:v>0.0937</x:v>
      </x:c>
      <x:c r="I5" s="10" t="n">
        <x:v>22235</x:v>
      </x:c>
      <x:c r="J5" s="10" t="n">
        <x:v>2093</x:v>
      </x:c>
      <x:c r="K5" s="10" t="n">
        <x:v>1896</x:v>
      </x:c>
      <x:c r="L5" s="10" t="n">
        <x:v>998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9" hidden="0" customWidth="1"/>
  </x:cols>
  <x:sheetData>
    <x:row r="1" ht="64" customHeight="1">
      <x:c r="A1" s="6" t="str">
        <x:v>Scenario</x:v>
      </x:c>
      <x:c r="B1" s="6" t="str">
        <x:v>Unobserved value</x:v>
      </x:c>
      <x:c r="C1" s="6" t="str">
        <x:v>Events</x:v>
      </x:c>
      <x:c r="D1" s="6" t="str">
        <x:v>Event rate</x:v>
      </x:c>
      <x:c r="E1" s="6" t="str">
        <x:v>O/E</x:v>
      </x:c>
      <x:c r="F1" s="6" t="str">
        <x:v>Slope</x:v>
      </x:c>
      <x:c r="G1" s="6" t="str">
        <x:v>AUROC</x:v>
      </x:c>
      <x:c r="H1" s="6" t="str">
        <x:v>Brier</x:v>
      </x:c>
      <x:c r="I1" s="6" t="str">
        <x:v>10% TP/1,000</x:v>
      </x:c>
      <x:c r="J1" s="6" t="str">
        <x:v>10% incremental NB</x:v>
      </x:c>
    </x:row>
    <x:row r="2" ht="36" customHeight="1">
      <x:c r="A2" s="3" t="str">
        <x:v>all unobserved outcomes are non-events</x:v>
      </x:c>
      <x:c r="B2" s="9" t="n">
        <x:v>0</x:v>
      </x:c>
      <x:c r="C2" s="9" t="n">
        <x:v>259</x:v>
      </x:c>
      <x:c r="D2" s="11" t="n">
        <x:v>0.1</x:v>
      </x:c>
      <x:c r="E2" s="11" t="n">
        <x:v>0.908</x:v>
      </x:c>
      <x:c r="F2" s="11" t="n">
        <x:v>0.947</x:v>
      </x:c>
      <x:c r="G2" s="11" t="n">
        <x:v>0.69</x:v>
      </x:c>
      <x:c r="H2" s="11" t="n">
        <x:v>0.085</x:v>
      </x:c>
      <x:c r="I2" s="11" t="n">
        <x:v>63.4</x:v>
      </x:c>
      <x:c r="J2" s="11" t="n">
        <x:v>0.0282</x:v>
      </x:c>
    </x:row>
    <x:row r="3" ht="30" customHeight="1">
      <x:c r="A3" s="7" t="str">
        <x:v>all unobserved outcomes are events</x:v>
      </x:c>
      <x:c r="B3" s="10" t="n">
        <x:v>1</x:v>
      </x:c>
      <x:c r="C3" s="10" t="n">
        <x:v>813</x:v>
      </x:c>
      <x:c r="D3" s="12" t="n">
        <x:v>0.314</x:v>
      </x:c>
      <x:c r="E3" s="12" t="n">
        <x:v>2.849</x:v>
      </x:c>
      <x:c r="F3" s="12" t="n">
        <x:v>-0.196</x:v>
      </x:c>
      <x:c r="G3" s="12" t="n">
        <x:v>0.434</x:v>
      </x:c>
      <x:c r="H3" s="12" t="n">
        <x:v>0.2651</x:v>
      </x:c>
      <x:c r="I3" s="12" t="n">
        <x:v>99.3</x:v>
      </x:c>
      <x:c r="J3" s="12" t="n">
        <x:v>-0.1698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48" hidden="0" customWidth="1"/>
  </x:cols>
  <x:sheetData>
    <x:row r="1" ht="64" customHeight="1">
      <x:c r="A1" s="6" t="str">
        <x:v>Model</x:v>
      </x:c>
      <x:c r="B1" s="6" t="str">
        <x:v>n</x:v>
      </x:c>
      <x:c r="C1" s="6" t="str">
        <x:v>Events</x:v>
      </x:c>
      <x:c r="D1" s="6" t="str">
        <x:v>Event rate</x:v>
      </x:c>
      <x:c r="E1" s="6" t="str">
        <x:v>Predicted</x:v>
      </x:c>
      <x:c r="F1" s="6" t="str">
        <x:v>O/E</x:v>
      </x:c>
      <x:c r="G1" s="6" t="str">
        <x:v>Slope</x:v>
      </x:c>
      <x:c r="H1" s="6" t="str">
        <x:v>AUROC</x:v>
      </x:c>
      <x:c r="I1" s="6" t="str">
        <x:v>AUPRC</x:v>
      </x:c>
      <x:c r="J1" s="6" t="str">
        <x:v>Brier</x:v>
      </x:c>
      <x:c r="K1" s="6" t="str">
        <x:v>Interpretation</x:v>
      </x:c>
    </x:row>
    <x:row r="2" ht="50" customHeight="1">
      <x:c r="A2" s="3" t="str">
        <x:v>1/99 truncated-IPW INSPIRE source model</x:v>
      </x:c>
      <x:c r="B2" s="9" t="n">
        <x:v>4095</x:v>
      </x:c>
      <x:c r="C2" s="9" t="n">
        <x:v>271</x:v>
      </x:c>
      <x:c r="D2" s="11" t="n">
        <x:v>0.066</x:v>
      </x:c>
      <x:c r="E2" s="11" t="n">
        <x:v>0.057</x:v>
      </x:c>
      <x:c r="F2" s="11" t="n">
        <x:v>1.162</x:v>
      </x:c>
      <x:c r="G2" s="11" t="n">
        <x:v>0.828</x:v>
      </x:c>
      <x:c r="H2" s="11" t="n">
        <x:v>0.68</x:v>
      </x:c>
      <x:c r="I2" s="11" t="n">
        <x:v>0.127</x:v>
      </x:c>
      <x:c r="J2" s="11" t="n">
        <x:v>0.0612</x:v>
      </x:c>
      <x:c r="K2" s="3" t="str">
        <x:v>supportive observed-cohort stress test; not independent validation and not a complete eligible-population analysis</x:v>
      </x:c>
    </x:row>
    <x:row r="3" ht="50" customHeight="1">
      <x:c r="A3" s="7" t="str">
        <x:v>source model plus 1/99 truncated-IPW MOVER 2021 recalibration</x:v>
      </x:c>
      <x:c r="B3" s="10" t="n">
        <x:v>4095</x:v>
      </x:c>
      <x:c r="C3" s="10" t="n">
        <x:v>271</x:v>
      </x:c>
      <x:c r="D3" s="12" t="n">
        <x:v>0.066</x:v>
      </x:c>
      <x:c r="E3" s="12" t="n">
        <x:v>0.089</x:v>
      </x:c>
      <x:c r="F3" s="12" t="n">
        <x:v>0.747</x:v>
      </x:c>
      <x:c r="G3" s="12" t="n">
        <x:v>0.929</x:v>
      </x:c>
      <x:c r="H3" s="12" t="n">
        <x:v>0.68</x:v>
      </x:c>
      <x:c r="I3" s="12" t="n">
        <x:v>0.127</x:v>
      </x:c>
      <x:c r="J3" s="12" t="n">
        <x:v>0.0616</x:v>
      </x:c>
      <x:c r="K3" s="7" t="str">
        <x:v>supportive observed-cohort stress test; not independent validation and not a complete eligible-population analysis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42" hidden="0" customWidth="1"/>
    <x:col min="4" max="4" width="48" hidden="0" customWidth="1"/>
    <x:col min="5" max="5" width="48" hidden="0" customWidth="1"/>
  </x:cols>
  <x:sheetData>
    <x:row r="1" ht="64" customHeight="1">
      <x:c r="A1" s="6" t="str">
        <x:v>Dataset</x:v>
      </x:c>
      <x:c r="B1" s="6" t="str">
        <x:v>Analysis variable</x:v>
      </x:c>
      <x:c r="C1" s="6" t="str">
        <x:v>Raw field/table</x:v>
      </x:c>
      <x:c r="D1" s="6" t="str">
        <x:v>Derivation</x:v>
      </x:c>
      <x:c r="E1" s="6" t="str">
        <x:v>Use or note</x:v>
      </x:c>
    </x:row>
    <x:row r="2" ht="36" customHeight="1">
      <x:c r="A2" s="3" t="str">
        <x:v>INSPIRE</x:v>
      </x:c>
      <x:c r="B2" s="3" t="str">
        <x:v>patient_key</x:v>
      </x:c>
      <x:c r="C2" s="3" t="str">
        <x:v>operations.subject_id</x:v>
      </x:c>
      <x:c r="D2" s="3" t="str">
        <x:v>SHA-256 namespace key</x:v>
      </x:c>
      <x:c r="E2" s="3" t="str">
        <x:v>deidentified grouping key; never release raw identifier</x:v>
      </x:c>
    </x:row>
    <x:row r="3" ht="36" customHeight="1">
      <x:c r="A3" s="7" t="str">
        <x:v>INSPIRE</x:v>
      </x:c>
      <x:c r="B3" s="7" t="str">
        <x:v>case_key</x:v>
      </x:c>
      <x:c r="C3" s="7" t="str">
        <x:v>operations.op_id</x:v>
      </x:c>
      <x:c r="D3" s="7" t="str">
        <x:v>SHA-256 namespace key</x:v>
      </x:c>
      <x:c r="E3" s="7" t="str">
        <x:v>internal deidentified operation grouping key; raw values are not released</x:v>
      </x:c>
    </x:row>
    <x:row r="4" ht="30" customHeight="1">
      <x:c r="A4" s="3" t="str">
        <x:v>INSPIRE</x:v>
      </x:c>
      <x:c r="B4" s="3" t="str">
        <x:v>age</x:v>
      </x:c>
      <x:c r="C4" s="3" t="str">
        <x:v>operations.age</x:v>
      </x:c>
      <x:c r="D4" s="3" t="str">
        <x:v>numeric</x:v>
      </x:c>
      <x:c r="E4" s="3" t="str">
        <x:v>age &gt;=18</x:v>
      </x:c>
    </x:row>
    <x:row r="5" ht="30" customHeight="1">
      <x:c r="A5" s="7" t="str">
        <x:v>INSPIRE</x:v>
      </x:c>
      <x:c r="B5" s="7" t="str">
        <x:v>sex_male</x:v>
      </x:c>
      <x:c r="C5" s="7" t="str">
        <x:v>operations.sex</x:v>
      </x:c>
      <x:c r="D5" s="7" t="str">
        <x:v>starts with M</x:v>
      </x:c>
      <x:c r="E5" s="7" t="str">
        <x:v>binary predictor</x:v>
      </x:c>
    </x:row>
    <x:row r="6" ht="30" customHeight="1">
      <x:c r="A6" s="3" t="str">
        <x:v>INSPIRE</x:v>
      </x:c>
      <x:c r="B6" s="3" t="str">
        <x:v>asa</x:v>
      </x:c>
      <x:c r="C6" s="3" t="str">
        <x:v>operations.asa</x:v>
      </x:c>
      <x:c r="D6" s="3" t="str">
        <x:v>numeric</x:v>
      </x:c>
      <x:c r="E6" s="3" t="str">
        <x:v>observation-model covariate</x:v>
      </x:c>
    </x:row>
    <x:row r="7" ht="30" customHeight="1">
      <x:c r="A7" s="7" t="str">
        <x:v>INSPIRE</x:v>
      </x:c>
      <x:c r="B7" s="7" t="str">
        <x:v>duration_h</x:v>
      </x:c>
      <x:c r="C7" s="7" t="str">
        <x:v>operations.anend_time - anstart_time</x:v>
      </x:c>
      <x:c r="D7" s="7" t="str">
        <x:v>minutes / 60</x:v>
      </x:c>
      <x:c r="E7" s="7" t="str">
        <x:v>general anesthesia; 0.5-24 h</x:v>
      </x:c>
    </x:row>
    <x:row r="8" ht="64" customHeight="1">
      <x:c r="A8" s="3" t="str">
        <x:v>INSPIRE</x:v>
      </x:c>
      <x:c r="B8" s="3" t="str">
        <x:v>cardiac exclusion</x:v>
      </x:c>
      <x:c r="C8" s="3" t="str">
        <x:v>department, cpbon_time, icd10_pcs</x:v>
      </x:c>
      <x:c r="D8" s="3" t="str">
        <x:v>CTS or CPB or ICD-10-PCS 02*</x:v>
      </x:c>
      <x:c r="E8" s="3" t="str">
        <x:v>Independent CTS exclusion can also exclude noncardiac thoracic operations; absence of a supporting code is not clinical adjudication; scope not equivalent to MOVER</x:v>
      </x:c>
    </x:row>
    <x:row r="9" ht="64" customHeight="1">
      <x:c r="A9" s="7" t="str">
        <x:v>INSPIRE</x:v>
      </x:c>
      <x:c r="B9" s="7" t="str">
        <x:v>obstetric exclusion</x:v>
      </x:c>
      <x:c r="C9" s="7" t="str">
        <x:v>department, icd10_pcs</x:v>
      </x:c>
      <x:c r="D9" s="7" t="str">
        <x:v>OG department or section-1 PCS tokens of five or seven characters</x:v>
      </x:c>
      <x:c r="E9" s="7" t="str">
        <x:v>Independent OG exclusion can also exclude nonobstetric gynecologic operations; absence of a supporting code is not clinical adjudication; scope not equivalent to MOVER</x:v>
      </x:c>
    </x:row>
    <x:row r="10" ht="30" customHeight="1">
      <x:c r="A10" s="3" t="str">
        <x:v>INSPIRE</x:v>
      </x:c>
      <x:c r="B10" s="3" t="str">
        <x:v>baseline_cr</x:v>
      </x:c>
      <x:c r="C10" s="3" t="str">
        <x:v>labs: creatinine, chart_time, value</x:v>
      </x:c>
      <x:c r="D10" s="3" t="str">
        <x:v>latest valid value in 7 d before anesthesia</x:v>
      </x:c>
      <x:c r="E10" s="3" t="str">
        <x:v>must be &lt;4 mg/dL</x:v>
      </x:c>
    </x:row>
    <x:row r="11" ht="36" customHeight="1">
      <x:c r="A11" s="7" t="str">
        <x:v>INSPIRE</x:v>
      </x:c>
      <x:c r="B11" s="7" t="str">
        <x:v>tested_7d</x:v>
      </x:c>
      <x:c r="C11" s="7" t="str">
        <x:v>labs: postoperative creatinine</x:v>
      </x:c>
      <x:c r="D11" s="7" t="str">
        <x:v>&gt;=1 valid value after anesthesia through discharge/death/day 7</x:v>
      </x:c>
      <x:c r="E11" s="7" t="str">
        <x:v>outcome-observation indicator</x:v>
      </x:c>
    </x:row>
    <x:row r="12" ht="50" customHeight="1">
      <x:c r="A12" s="3" t="str">
        <x:v>INSPIRE</x:v>
      </x:c>
      <x:c r="B12" s="3" t="str">
        <x:v>aki</x:v>
      </x:c>
      <x:c r="C12" s="3" t="str">
        <x:v>baseline_cr, cr_max_48h, cr_max_7d</x:v>
      </x:c>
      <x:c r="D12" s="3" t="str">
        <x:v>Inclusive &gt;=0.3 mg/dL by 48 h or &gt;=1.5 times baseline by day 7; absolute numerical comparison tolerance 1e-12 mg/dL</x:v>
      </x:c>
      <x:c r="E12" s="3" t="str">
        <x:v>creatinine KDIGO; urine output unavailable</x:v>
      </x:c>
    </x:row>
    <x:row r="13" ht="30" customHeight="1">
      <x:c r="A13" s="7" t="str">
        <x:v>MOVER</x:v>
      </x:c>
      <x:c r="B13" s="7" t="str">
        <x:v>patient_key</x:v>
      </x:c>
      <x:c r="C13" s="7" t="str">
        <x:v>patient_information.MRN</x:v>
      </x:c>
      <x:c r="D13" s="7" t="str">
        <x:v>SHA-256 namespace key</x:v>
      </x:c>
      <x:c r="E13" s="7" t="str">
        <x:v>patient grouping and 2021/2022 overlap check</x:v>
      </x:c>
    </x:row>
    <x:row r="14" ht="36" customHeight="1">
      <x:c r="A14" s="3" t="str">
        <x:v>MOVER</x:v>
      </x:c>
      <x:c r="B14" s="3" t="str">
        <x:v>case_key</x:v>
      </x:c>
      <x:c r="C14" s="3" t="str">
        <x:v>patient_information.LOG_ID</x:v>
      </x:c>
      <x:c r="D14" s="3" t="str">
        <x:v>SHA-256 namespace key</x:v>
      </x:c>
      <x:c r="E14" s="3" t="str">
        <x:v>internal deidentified operation grouping key; raw values are not released</x:v>
      </x:c>
    </x:row>
    <x:row r="15" ht="30" customHeight="1">
      <x:c r="A15" s="7" t="str">
        <x:v>MOVER</x:v>
      </x:c>
      <x:c r="B15" s="7" t="str">
        <x:v>age</x:v>
      </x:c>
      <x:c r="C15" s="7" t="str">
        <x:v>patient_information.BIRTH_DATE</x:v>
      </x:c>
      <x:c r="D15" s="7" t="str">
        <x:v>released numeric age</x:v>
      </x:c>
      <x:c r="E15" s="7" t="str">
        <x:v>field name is provider-specific</x:v>
      </x:c>
    </x:row>
    <x:row r="16" ht="30" customHeight="1">
      <x:c r="A16" s="3" t="str">
        <x:v>MOVER</x:v>
      </x:c>
      <x:c r="B16" s="3" t="str">
        <x:v>sex_male</x:v>
      </x:c>
      <x:c r="C16" s="3" t="str">
        <x:v>patient_information.SEX</x:v>
      </x:c>
      <x:c r="D16" s="3" t="str">
        <x:v>equals male, case-insensitive</x:v>
      </x:c>
      <x:c r="E16" s="3" t="str">
        <x:v>binary predictor</x:v>
      </x:c>
    </x:row>
    <x:row r="17" ht="30" customHeight="1">
      <x:c r="A17" s="7" t="str">
        <x:v>MOVER</x:v>
      </x:c>
      <x:c r="B17" s="7" t="str">
        <x:v>asa</x:v>
      </x:c>
      <x:c r="C17" s="7" t="str">
        <x:v>patient_information.ASA_RATING_C</x:v>
      </x:c>
      <x:c r="D17" s="7" t="str">
        <x:v>numeric</x:v>
      </x:c>
      <x:c r="E17" s="7" t="str">
        <x:v>observation-model covariate</x:v>
      </x:c>
    </x:row>
    <x:row r="18" ht="30" customHeight="1">
      <x:c r="A18" s="3" t="str">
        <x:v>MOVER</x:v>
      </x:c>
      <x:c r="B18" s="3" t="str">
        <x:v>duration_h</x:v>
      </x:c>
      <x:c r="C18" s="3" t="str">
        <x:v>AN_STOP_DATETIME - AN_START_DATETIME</x:v>
      </x:c>
      <x:c r="D18" s="3" t="str">
        <x:v>hours</x:v>
      </x:c>
      <x:c r="E18" s="3" t="str">
        <x:v>general anesthesia; 0.5-24 h</x:v>
      </x:c>
    </x:row>
    <x:row r="19" ht="30" customHeight="1">
      <x:c r="A19" s="7" t="str">
        <x:v>MOVER</x:v>
      </x:c>
      <x:c r="B19" s="7" t="str">
        <x:v>surgery_category</x:v>
      </x:c>
      <x:c r="C19" s="7" t="str">
        <x:v>PRIMARY_PROCEDURE_NM</x:v>
      </x:c>
      <x:c r="D19" s="7" t="str">
        <x:v>deterministic keyword map</x:v>
      </x:c>
      <x:c r="E19" s="7" t="str">
        <x:v>expanded observation model only</x:v>
      </x:c>
    </x:row>
    <x:row r="20" ht="36" customHeight="1">
      <x:c r="A20" s="3" t="str">
        <x:v>MOVER</x:v>
      </x:c>
      <x:c r="B20" s="3" t="str">
        <x:v>cardiac/obstetric exclusion</x:v>
      </x:c>
      <x:c r="C20" s="3" t="str">
        <x:v>PRIMARY_PROCEDURE_NM</x:v>
      </x:c>
      <x:c r="D20" s="3" t="str">
        <x:v>prespecified regular expressions</x:v>
      </x:c>
      <x:c r="E20" s="3" t="str">
        <x:v>excluded</x:v>
      </x:c>
    </x:row>
    <x:row r="21" ht="36" customHeight="1">
      <x:c r="A21" s="7" t="str">
        <x:v>MOVER</x:v>
      </x:c>
      <x:c r="B21" s="7" t="str">
        <x:v>baseline_cr</x:v>
      </x:c>
      <x:c r="C21" s="7" t="str">
        <x:v>patient_labs</x:v>
      </x:c>
      <x:c r="D21" s="7" t="str">
        <x:v>latest strict blood creatinine in 7 d before anesthesia</x:v>
      </x:c>
      <x:c r="E21" s="7" t="str">
        <x:v>Lab Name=Creatinine; mg/dL; allowed blood LOINC; &lt;4</x:v>
      </x:c>
    </x:row>
    <x:row r="22" ht="36" customHeight="1">
      <x:c r="A22" s="3" t="str">
        <x:v>MOVER</x:v>
      </x:c>
      <x:c r="B22" s="3" t="str">
        <x:v>tested_7d</x:v>
      </x:c>
      <x:c r="C22" s="3" t="str">
        <x:v>patient_labs</x:v>
      </x:c>
      <x:c r="D22" s="3" t="str">
        <x:v>&gt;=1 strict blood creatinine after anesthesia through discharge/day 7</x:v>
      </x:c>
      <x:c r="E22" s="3" t="str">
        <x:v>outcome-observation indicator</x:v>
      </x:c>
    </x:row>
    <x:row r="23" ht="50" customHeight="1">
      <x:c r="A23" s="7" t="str">
        <x:v>MOVER</x:v>
      </x:c>
      <x:c r="B23" s="7" t="str">
        <x:v>aki</x:v>
      </x:c>
      <x:c r="C23" s="7" t="str">
        <x:v>baseline_cr, cr_max_48h, cr_max_7d</x:v>
      </x:c>
      <x:c r="D23" s="7" t="str">
        <x:v>Inclusive &gt;=0.3 mg/dL by 48 h or &gt;=1.5 times baseline by day 7; absolute numerical comparison tolerance 1e-12 mg/dL</x:v>
      </x:c>
      <x:c r="E23" s="7" t="str">
        <x:v>creatinine KDIGO</x:v>
      </x:c>
    </x:row>
    <x:row r="24" ht="36" customHeight="1">
      <x:c r="A24" s="3" t="str">
        <x:v>MOVER</x:v>
      </x:c>
      <x:c r="B24" s="3" t="str">
        <x:v>analysis phase</x:v>
      </x:c>
      <x:c r="C24" s="3" t="str">
        <x:v>AN_START_DATETIME</x:v>
      </x:c>
      <x:c r="D24" s="3" t="str">
        <x:v>calendar year 2021 or 2022</x:v>
      </x:c>
      <x:c r="E24" s="3" t="str">
        <x:v>2021 update; 2022 post-exploration temporal evaluation</x:v>
      </x:c>
    </x:row>
    <x:row r="25" ht="30" customHeight="1">
      <x:c r="A25" s="7" t="str">
        <x:v>VitalDB</x:v>
      </x:c>
      <x:c r="B25" s="7" t="str">
        <x:v>case_key/patient_key</x:v>
      </x:c>
      <x:c r="C25" s="7" t="str">
        <x:v>cases.caseid</x:v>
      </x:c>
      <x:c r="D25" s="7" t="str">
        <x:v>SHA-256 namespace key</x:v>
      </x:c>
      <x:c r="E25" s="7" t="str">
        <x:v>one supportive case per released case</x:v>
      </x:c>
    </x:row>
    <x:row r="26" ht="30" customHeight="1">
      <x:c r="A26" s="3" t="str">
        <x:v>VitalDB</x:v>
      </x:c>
      <x:c r="B26" s="3" t="str">
        <x:v>age/sex/asa</x:v>
      </x:c>
      <x:c r="C26" s="3" t="str">
        <x:v>cases.age, sex, asa</x:v>
      </x:c>
      <x:c r="D26" s="3" t="str">
        <x:v>numeric / M indicator / numeric</x:v>
      </x:c>
      <x:c r="E26" s="3" t="str">
        <x:v>supportive observed-cohort predictors</x:v>
      </x:c>
    </x:row>
    <x:row r="27" ht="30" customHeight="1">
      <x:c r="A27" s="7" t="str">
        <x:v>VitalDB</x:v>
      </x:c>
      <x:c r="B27" s="7" t="str">
        <x:v>duration_h</x:v>
      </x:c>
      <x:c r="C27" s="7" t="str">
        <x:v>cases.opend - opstart</x:v>
      </x:c>
      <x:c r="D27" s="7" t="str">
        <x:v>seconds / 3600</x:v>
      </x:c>
      <x:c r="E27" s="7" t="str">
        <x:v>supportive observed-cohort predictor</x:v>
      </x:c>
    </x:row>
    <x:row r="28" ht="36" customHeight="1">
      <x:c r="A28" s="3" t="str">
        <x:v>VitalDB</x:v>
      </x:c>
      <x:c r="B28" s="3" t="str">
        <x:v>baseline_cr</x:v>
      </x:c>
      <x:c r="C28" s="3" t="str">
        <x:v>cases.preop_cr then latest pre-op labs cr</x:v>
      </x:c>
      <x:c r="D28" s="3" t="str">
        <x:v>preop_cr preferred</x:v>
      </x:c>
      <x:c r="E28" s="3" t="str">
        <x:v>must be present and &lt;4 for supportive analysis</x:v>
      </x:c>
    </x:row>
    <x:row r="29" ht="30" customHeight="1">
      <x:c r="A29" s="7" t="str">
        <x:v>VitalDB</x:v>
      </x:c>
      <x:c r="B29" s="7" t="str">
        <x:v>tested_7d</x:v>
      </x:c>
      <x:c r="C29" s="7" t="str">
        <x:v>labs.name=cr</x:v>
      </x:c>
      <x:c r="D29" s="7" t="str">
        <x:v>&gt;=1 numeric value after opend through day 7</x:v>
      </x:c>
      <x:c r="E29" s="7" t="str">
        <x:v>outcome-observation indicator</x:v>
      </x:c>
    </x:row>
    <x:row r="30" ht="50" customHeight="1">
      <x:c r="A30" s="3" t="str">
        <x:v>VitalDB</x:v>
      </x:c>
      <x:c r="B30" s="3" t="str">
        <x:v>aki</x:v>
      </x:c>
      <x:c r="C30" s="3" t="str">
        <x:v>baseline_cr and postoperative cr</x:v>
      </x:c>
      <x:c r="D30" s="3" t="str">
        <x:v>Inclusive &gt;=0.3 mg/dL by 48 h or &gt;=1.5 times baseline by day 7; absolute numerical comparison tolerance 1e-12 mg/dL</x:v>
      </x:c>
      <x:c r="E30" s="3" t="str">
        <x:v>Supportive only; thresholds corrected; release-specific baseline and follow-up definitions differ from primary cohorts</x:v>
      </x:c>
    </x:row>
    <x:row r="31" ht="36" customHeight="1">
      <x:c r="A31" s="7" t="str">
        <x:v>ALL</x:v>
      </x:c>
      <x:c r="B31" s="7" t="str">
        <x:v>first_eligible</x:v>
      </x:c>
      <x:c r="C31" s="7" t="str">
        <x:v>patient_key + anesthesia start</x:v>
      </x:c>
      <x:c r="D31" s="7" t="str">
        <x:v>earliest clinically eligible operation</x:v>
      </x:c>
      <x:c r="E31" s="7" t="str">
        <x:v>applied to INSPIRE and MOVER; VitalDB supportive only</x:v>
      </x:c>
    </x:row>
    <x:row r="32" ht="30" customHeight="1">
      <x:c r="A32" s="3" t="str">
        <x:v>ALL</x:v>
      </x:c>
      <x:c r="B32" s="3" t="str">
        <x:v>prediction_time</x:v>
      </x:c>
      <x:c r="C32" s="3" t="str">
        <x:v>derived design variable</x:v>
      </x:c>
      <x:c r="D32" s="3" t="str">
        <x:v>end of anesthesia</x:v>
      </x:c>
      <x:c r="E32" s="3" t="str">
        <x:v>baseline creatinine remains pre-anesthesia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3" hidden="0" customWidth="1"/>
    <x:col min="5" max="5" width="16" hidden="0" customWidth="1"/>
  </x:cols>
  <x:sheetData>
    <x:row r="1" ht="64" customHeight="1">
      <x:c r="A1" s="6" t="str">
        <x:v>Level</x:v>
      </x:c>
      <x:c r="B1" s="6" t="str">
        <x:v>Released, mg/dL</x:v>
      </x:c>
      <x:c r="C1" s="6" t="str">
        <x:v>Lower, mg/dL</x:v>
      </x:c>
      <x:c r="D1" s="6" t="str">
        <x:v>Upper, mg/dL</x:v>
      </x:c>
      <x:c r="E1" s="6" t="str">
        <x:v>Laboratory rows</x:v>
      </x:c>
    </x:row>
    <x:row r="2" ht="30" customHeight="1">
      <x:c r="A2" s="9" t="n">
        <x:v>1</x:v>
      </x:c>
      <x:c r="B2" s="11" t="n">
        <x:v>0.41</x:v>
      </x:c>
      <x:c r="C2" s="11" t="n">
        <x:v>0.05</x:v>
      </x:c>
      <x:c r="D2" s="11" t="n">
        <x:v>0.47</x:v>
      </x:c>
      <x:c r="E2" s="9" t="n">
        <x:v>26404</x:v>
      </x:c>
    </x:row>
    <x:row r="3" ht="30" customHeight="1">
      <x:c r="A3" s="10" t="n">
        <x:v>2</x:v>
      </x:c>
      <x:c r="B3" s="12" t="n">
        <x:v>0.47</x:v>
      </x:c>
      <x:c r="C3" s="12" t="n">
        <x:v>0.41</x:v>
      </x:c>
      <x:c r="D3" s="12" t="n">
        <x:v>0.53</x:v>
      </x:c>
      <x:c r="E3" s="10" t="n">
        <x:v>56022</x:v>
      </x:c>
    </x:row>
    <x:row r="4" ht="30" customHeight="1">
      <x:c r="A4" s="9" t="n">
        <x:v>3</x:v>
      </x:c>
      <x:c r="B4" s="11" t="n">
        <x:v>0.53</x:v>
      </x:c>
      <x:c r="C4" s="11" t="n">
        <x:v>0.47</x:v>
      </x:c>
      <x:c r="D4" s="11" t="n">
        <x:v>0.58</x:v>
      </x:c>
      <x:c r="E4" s="9" t="n">
        <x:v>50434</x:v>
      </x:c>
    </x:row>
    <x:row r="5" ht="30" customHeight="1">
      <x:c r="A5" s="10" t="n">
        <x:v>4</x:v>
      </x:c>
      <x:c r="B5" s="12" t="n">
        <x:v>0.58</x:v>
      </x:c>
      <x:c r="C5" s="12" t="n">
        <x:v>0.53</x:v>
      </x:c>
      <x:c r="D5" s="12" t="n">
        <x:v>0.61</x:v>
      </x:c>
      <x:c r="E5" s="10" t="n">
        <x:v>52956</x:v>
      </x:c>
    </x:row>
    <x:row r="6" ht="30" customHeight="1">
      <x:c r="A6" s="9" t="n">
        <x:v>5</x:v>
      </x:c>
      <x:c r="B6" s="11" t="n">
        <x:v>0.61</x:v>
      </x:c>
      <x:c r="C6" s="11" t="n">
        <x:v>0.58</x:v>
      </x:c>
      <x:c r="D6" s="11" t="n">
        <x:v>0.65</x:v>
      </x:c>
      <x:c r="E6" s="9" t="n">
        <x:v>45230</x:v>
      </x:c>
    </x:row>
    <x:row r="7" ht="30" customHeight="1">
      <x:c r="A7" s="10" t="n">
        <x:v>6</x:v>
      </x:c>
      <x:c r="B7" s="12" t="n">
        <x:v>0.65</x:v>
      </x:c>
      <x:c r="C7" s="12" t="n">
        <x:v>0.61</x:v>
      </x:c>
      <x:c r="D7" s="12" t="n">
        <x:v>0.68</x:v>
      </x:c>
      <x:c r="E7" s="10" t="n">
        <x:v>48809</x:v>
      </x:c>
    </x:row>
    <x:row r="8" ht="30" customHeight="1">
      <x:c r="A8" s="9" t="n">
        <x:v>7</x:v>
      </x:c>
      <x:c r="B8" s="11" t="n">
        <x:v>0.68</x:v>
      </x:c>
      <x:c r="C8" s="11" t="n">
        <x:v>0.65</x:v>
      </x:c>
      <x:c r="D8" s="11" t="n">
        <x:v>0.71</x:v>
      </x:c>
      <x:c r="E8" s="9" t="n">
        <x:v>50340</x:v>
      </x:c>
    </x:row>
    <x:row r="9" ht="30" customHeight="1">
      <x:c r="A9" s="10" t="n">
        <x:v>8</x:v>
      </x:c>
      <x:c r="B9" s="12" t="n">
        <x:v>0.71</x:v>
      </x:c>
      <x:c r="C9" s="12" t="n">
        <x:v>0.68</x:v>
      </x:c>
      <x:c r="D9" s="12" t="n">
        <x:v>0.74</x:v>
      </x:c>
      <x:c r="E9" s="10" t="n">
        <x:v>49991</x:v>
      </x:c>
    </x:row>
    <x:row r="10" ht="30" customHeight="1">
      <x:c r="A10" s="9" t="n">
        <x:v>9</x:v>
      </x:c>
      <x:c r="B10" s="11" t="n">
        <x:v>0.74</x:v>
      </x:c>
      <x:c r="C10" s="11" t="n">
        <x:v>0.71</x:v>
      </x:c>
      <x:c r="D10" s="11" t="n">
        <x:v>0.77</x:v>
      </x:c>
      <x:c r="E10" s="9" t="n">
        <x:v>47861</x:v>
      </x:c>
    </x:row>
    <x:row r="11" ht="30" customHeight="1">
      <x:c r="A11" s="10" t="n">
        <x:v>10</x:v>
      </x:c>
      <x:c r="B11" s="12" t="n">
        <x:v>0.77</x:v>
      </x:c>
      <x:c r="C11" s="12" t="n">
        <x:v>0.74</x:v>
      </x:c>
      <x:c r="D11" s="12" t="n">
        <x:v>0.8</x:v>
      </x:c>
      <x:c r="E11" s="10" t="n">
        <x:v>45910</x:v>
      </x:c>
    </x:row>
    <x:row r="12" ht="30" customHeight="1">
      <x:c r="A12" s="9" t="n">
        <x:v>11</x:v>
      </x:c>
      <x:c r="B12" s="11" t="n">
        <x:v>0.8</x:v>
      </x:c>
      <x:c r="C12" s="11" t="n">
        <x:v>0.77</x:v>
      </x:c>
      <x:c r="D12" s="11" t="n">
        <x:v>0.84</x:v>
      </x:c>
      <x:c r="E12" s="9" t="n">
        <x:v>57578</x:v>
      </x:c>
    </x:row>
    <x:row r="13" ht="30" customHeight="1">
      <x:c r="A13" s="10" t="n">
        <x:v>12</x:v>
      </x:c>
      <x:c r="B13" s="12" t="n">
        <x:v>0.84</x:v>
      </x:c>
      <x:c r="C13" s="12" t="n">
        <x:v>0.8</x:v>
      </x:c>
      <x:c r="D13" s="12" t="n">
        <x:v>0.88</x:v>
      </x:c>
      <x:c r="E13" s="10" t="n">
        <x:v>52113</x:v>
      </x:c>
    </x:row>
    <x:row r="14" ht="30" customHeight="1">
      <x:c r="A14" s="9" t="n">
        <x:v>13</x:v>
      </x:c>
      <x:c r="B14" s="11" t="n">
        <x:v>0.88</x:v>
      </x:c>
      <x:c r="C14" s="11" t="n">
        <x:v>0.84</x:v>
      </x:c>
      <x:c r="D14" s="11" t="n">
        <x:v>0.92</x:v>
      </x:c>
      <x:c r="E14" s="9" t="n">
        <x:v>45065</x:v>
      </x:c>
    </x:row>
    <x:row r="15" ht="30" customHeight="1">
      <x:c r="A15" s="10" t="n">
        <x:v>14</x:v>
      </x:c>
      <x:c r="B15" s="12" t="n">
        <x:v>0.92</x:v>
      </x:c>
      <x:c r="C15" s="12" t="n">
        <x:v>0.88</x:v>
      </x:c>
      <x:c r="D15" s="12" t="n">
        <x:v>0.98</x:v>
      </x:c>
      <x:c r="E15" s="10" t="n">
        <x:v>49450</x:v>
      </x:c>
    </x:row>
    <x:row r="16" ht="30" customHeight="1">
      <x:c r="A16" s="9" t="n">
        <x:v>15</x:v>
      </x:c>
      <x:c r="B16" s="11" t="n">
        <x:v>0.98</x:v>
      </x:c>
      <x:c r="C16" s="11" t="n">
        <x:v>0.92</x:v>
      </x:c>
      <x:c r="D16" s="11" t="n">
        <x:v>1.05</x:v>
      </x:c>
      <x:c r="E16" s="9" t="n">
        <x:v>48327</x:v>
      </x:c>
    </x:row>
    <x:row r="17" ht="30" customHeight="1">
      <x:c r="A17" s="10" t="n">
        <x:v>16</x:v>
      </x:c>
      <x:c r="B17" s="12" t="n">
        <x:v>1.05</x:v>
      </x:c>
      <x:c r="C17" s="12" t="n">
        <x:v>0.98</x:v>
      </x:c>
      <x:c r="D17" s="12" t="n">
        <x:v>1.15</x:v>
      </x:c>
      <x:c r="E17" s="10" t="n">
        <x:v>52031</x:v>
      </x:c>
    </x:row>
    <x:row r="18" ht="30" customHeight="1">
      <x:c r="A18" s="9" t="n">
        <x:v>17</x:v>
      </x:c>
      <x:c r="B18" s="11" t="n">
        <x:v>1.15</x:v>
      </x:c>
      <x:c r="C18" s="11" t="n">
        <x:v>1.05</x:v>
      </x:c>
      <x:c r="D18" s="11" t="n">
        <x:v>1.33</x:v>
      </x:c>
      <x:c r="E18" s="9" t="n">
        <x:v>47237</x:v>
      </x:c>
    </x:row>
    <x:row r="19" ht="30" customHeight="1">
      <x:c r="A19" s="10" t="n">
        <x:v>18</x:v>
      </x:c>
      <x:c r="B19" s="12" t="n">
        <x:v>1.33</x:v>
      </x:c>
      <x:c r="C19" s="12" t="n">
        <x:v>1.15</x:v>
      </x:c>
      <x:c r="D19" s="12" t="n">
        <x:v>1.68</x:v>
      </x:c>
      <x:c r="E19" s="10" t="n">
        <x:v>49474</x:v>
      </x:c>
    </x:row>
    <x:row r="20" ht="30" customHeight="1">
      <x:c r="A20" s="9" t="n">
        <x:v>19</x:v>
      </x:c>
      <x:c r="B20" s="11" t="n">
        <x:v>1.68</x:v>
      </x:c>
      <x:c r="C20" s="11" t="n">
        <x:v>1.33</x:v>
      </x:c>
      <x:c r="D20" s="11" t="n">
        <x:v>3.03</x:v>
      </x:c>
      <x:c r="E20" s="9" t="n">
        <x:v>49865</x:v>
      </x:c>
    </x:row>
    <x:row r="21" ht="30" customHeight="1">
      <x:c r="A21" s="10" t="n">
        <x:v>20</x:v>
      </x:c>
      <x:c r="B21" s="12" t="n">
        <x:v>3.03</x:v>
      </x:c>
      <x:c r="C21" s="12" t="n">
        <x:v>1.68</x:v>
      </x:c>
      <x:c r="D21" s="12" t="n">
        <x:v>5.54</x:v>
      </x:c>
      <x:c r="E21" s="10" t="n">
        <x:v>50008</x:v>
      </x:c>
    </x:row>
    <x:row r="22" ht="30" customHeight="1">
      <x:c r="A22" s="9" t="n">
        <x:v>21</x:v>
      </x:c>
      <x:c r="B22" s="11" t="n">
        <x:v>5.54</x:v>
      </x:c>
      <x:c r="C22" s="11" t="n">
        <x:v>3.03</x:v>
      </x:c>
      <x:c r="D22" s="9" t="n">
        <x:v>30</x:v>
      </x:c>
      <x:c r="E22" s="9" t="n">
        <x:v>26268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64" customHeight="1">
      <x:c r="A1" s="6" t="str">
        <x:v>Bin</x:v>
      </x:c>
      <x:c r="B1" s="6" t="str">
        <x:v>Lower cutpoint, mg/dL</x:v>
      </x:c>
      <x:c r="C1" s="6" t="str">
        <x:v>Upper cutpoint, mg/dL</x:v>
      </x:c>
      <x:c r="D1" s="6" t="str">
        <x:v>Representative, mg/dL</x:v>
      </x:c>
    </x:row>
    <x:row r="2" ht="30" customHeight="1">
      <x:c r="A2" s="9" t="n">
        <x:v>1</x:v>
      </x:c>
      <x:c r="B2" s="3" t="str">
        <x:v>NA</x:v>
      </x:c>
      <x:c r="C2" s="11" t="n">
        <x:v>0.3</x:v>
      </x:c>
      <x:c r="D2" s="11" t="n">
        <x:v>0.3</x:v>
      </x:c>
    </x:row>
    <x:row r="3" ht="30" customHeight="1">
      <x:c r="A3" s="10" t="n">
        <x:v>2</x:v>
      </x:c>
      <x:c r="B3" s="12" t="n">
        <x:v>0.3</x:v>
      </x:c>
      <x:c r="C3" s="12" t="n">
        <x:v>0.4</x:v>
      </x:c>
      <x:c r="D3" s="12" t="n">
        <x:v>0.4</x:v>
      </x:c>
    </x:row>
    <x:row r="4" ht="30" customHeight="1">
      <x:c r="A4" s="9" t="n">
        <x:v>3</x:v>
      </x:c>
      <x:c r="B4" s="11" t="n">
        <x:v>0.4</x:v>
      </x:c>
      <x:c r="C4" s="11" t="n">
        <x:v>0.5</x:v>
      </x:c>
      <x:c r="D4" s="11" t="n">
        <x:v>0.4</x:v>
      </x:c>
    </x:row>
    <x:row r="5" ht="30" customHeight="1">
      <x:c r="A5" s="10" t="n">
        <x:v>4</x:v>
      </x:c>
      <x:c r="B5" s="12" t="n">
        <x:v>0.5</x:v>
      </x:c>
      <x:c r="C5" s="12" t="n">
        <x:v>0.5</x:v>
      </x:c>
      <x:c r="D5" s="12" t="n">
        <x:v>0.5</x:v>
      </x:c>
    </x:row>
    <x:row r="6" ht="30" customHeight="1">
      <x:c r="A6" s="9" t="n">
        <x:v>5</x:v>
      </x:c>
      <x:c r="B6" s="11" t="n">
        <x:v>0.5</x:v>
      </x:c>
      <x:c r="C6" s="11" t="n">
        <x:v>0.6</x:v>
      </x:c>
      <x:c r="D6" s="11" t="n">
        <x:v>0.6</x:v>
      </x:c>
    </x:row>
    <x:row r="7" ht="30" customHeight="1">
      <x:c r="A7" s="10" t="n">
        <x:v>6</x:v>
      </x:c>
      <x:c r="B7" s="12" t="n">
        <x:v>0.6</x:v>
      </x:c>
      <x:c r="C7" s="12" t="n">
        <x:v>0.6</x:v>
      </x:c>
      <x:c r="D7" s="12" t="n">
        <x:v>0.6</x:v>
      </x:c>
    </x:row>
    <x:row r="8" ht="30" customHeight="1">
      <x:c r="A8" s="9" t="n">
        <x:v>7</x:v>
      </x:c>
      <x:c r="B8" s="11" t="n">
        <x:v>0.6</x:v>
      </x:c>
      <x:c r="C8" s="11" t="n">
        <x:v>0.7</x:v>
      </x:c>
      <x:c r="D8" s="11" t="n">
        <x:v>0.6</x:v>
      </x:c>
    </x:row>
    <x:row r="9" ht="30" customHeight="1">
      <x:c r="A9" s="10" t="n">
        <x:v>8</x:v>
      </x:c>
      <x:c r="B9" s="12" t="n">
        <x:v>0.7</x:v>
      </x:c>
      <x:c r="C9" s="12" t="n">
        <x:v>0.7</x:v>
      </x:c>
      <x:c r="D9" s="12" t="n">
        <x:v>0.7</x:v>
      </x:c>
    </x:row>
    <x:row r="10" ht="30" customHeight="1">
      <x:c r="A10" s="9" t="n">
        <x:v>9</x:v>
      </x:c>
      <x:c r="B10" s="11" t="n">
        <x:v>0.7</x:v>
      </x:c>
      <x:c r="C10" s="11" t="n">
        <x:v>0.8</x:v>
      </x:c>
      <x:c r="D10" s="11" t="n">
        <x:v>0.8</x:v>
      </x:c>
    </x:row>
    <x:row r="11" ht="30" customHeight="1">
      <x:c r="A11" s="10" t="n">
        <x:v>10</x:v>
      </x:c>
      <x:c r="B11" s="12" t="n">
        <x:v>0.8</x:v>
      </x:c>
      <x:c r="C11" s="12" t="n">
        <x:v>0.8</x:v>
      </x:c>
      <x:c r="D11" s="12" t="n">
        <x:v>0.8</x:v>
      </x:c>
    </x:row>
    <x:row r="12" ht="30" customHeight="1">
      <x:c r="A12" s="9" t="n">
        <x:v>11</x:v>
      </x:c>
      <x:c r="B12" s="11" t="n">
        <x:v>0.8</x:v>
      </x:c>
      <x:c r="C12" s="11" t="n">
        <x:v>0.9</x:v>
      </x:c>
      <x:c r="D12" s="11" t="n">
        <x:v>0.9</x:v>
      </x:c>
    </x:row>
    <x:row r="13" ht="30" customHeight="1">
      <x:c r="A13" s="10" t="n">
        <x:v>12</x:v>
      </x:c>
      <x:c r="B13" s="12" t="n">
        <x:v>0.9</x:v>
      </x:c>
      <x:c r="C13" s="10" t="n">
        <x:v>1</x:v>
      </x:c>
      <x:c r="D13" s="12" t="n">
        <x:v>0.9</x:v>
      </x:c>
    </x:row>
    <x:row r="14" ht="30" customHeight="1">
      <x:c r="A14" s="9" t="n">
        <x:v>13</x:v>
      </x:c>
      <x:c r="B14" s="9" t="n">
        <x:v>1</x:v>
      </x:c>
      <x:c r="C14" s="11" t="n">
        <x:v>1.1</x:v>
      </x:c>
      <x:c r="D14" s="9" t="n">
        <x:v>1</x:v>
      </x:c>
    </x:row>
    <x:row r="15" ht="30" customHeight="1">
      <x:c r="A15" s="10" t="n">
        <x:v>14</x:v>
      </x:c>
      <x:c r="B15" s="12" t="n">
        <x:v>1.1</x:v>
      </x:c>
      <x:c r="C15" s="12" t="n">
        <x:v>1.2</x:v>
      </x:c>
      <x:c r="D15" s="12" t="n">
        <x:v>1.1</x:v>
      </x:c>
    </x:row>
    <x:row r="16" ht="30" customHeight="1">
      <x:c r="A16" s="9" t="n">
        <x:v>15</x:v>
      </x:c>
      <x:c r="B16" s="11" t="n">
        <x:v>1.2</x:v>
      </x:c>
      <x:c r="C16" s="11" t="n">
        <x:v>1.4</x:v>
      </x:c>
      <x:c r="D16" s="11" t="n">
        <x:v>1.3</x:v>
      </x:c>
    </x:row>
    <x:row r="17" ht="30" customHeight="1">
      <x:c r="A17" s="10" t="n">
        <x:v>16</x:v>
      </x:c>
      <x:c r="B17" s="12" t="n">
        <x:v>1.4</x:v>
      </x:c>
      <x:c r="C17" s="12" t="n">
        <x:v>1.6</x:v>
      </x:c>
      <x:c r="D17" s="12" t="n">
        <x:v>1.5</x:v>
      </x:c>
    </x:row>
    <x:row r="18" ht="30" customHeight="1">
      <x:c r="A18" s="9" t="n">
        <x:v>17</x:v>
      </x:c>
      <x:c r="B18" s="11" t="n">
        <x:v>1.6</x:v>
      </x:c>
      <x:c r="C18" s="9" t="n">
        <x:v>2</x:v>
      </x:c>
      <x:c r="D18" s="11" t="n">
        <x:v>1.8</x:v>
      </x:c>
    </x:row>
    <x:row r="19" ht="30" customHeight="1">
      <x:c r="A19" s="10" t="n">
        <x:v>18</x:v>
      </x:c>
      <x:c r="B19" s="10" t="n">
        <x:v>2</x:v>
      </x:c>
      <x:c r="C19" s="12" t="n">
        <x:v>2.6</x:v>
      </x:c>
      <x:c r="D19" s="12" t="n">
        <x:v>2.2</x:v>
      </x:c>
    </x:row>
    <x:row r="20" ht="30" customHeight="1">
      <x:c r="A20" s="9" t="n">
        <x:v>19</x:v>
      </x:c>
      <x:c r="B20" s="11" t="n">
        <x:v>2.6</x:v>
      </x:c>
      <x:c r="C20" s="11" t="n">
        <x:v>3.8</x:v>
      </x:c>
      <x:c r="D20" s="11" t="n">
        <x:v>3.1</x:v>
      </x:c>
    </x:row>
    <x:row r="21" ht="30" customHeight="1">
      <x:c r="A21" s="10" t="n">
        <x:v>20</x:v>
      </x:c>
      <x:c r="B21" s="12" t="n">
        <x:v>3.8</x:v>
      </x:c>
      <x:c r="C21" s="12" t="n">
        <x:v>6.9</x:v>
      </x:c>
      <x:c r="D21" s="10" t="n">
        <x:v>5</x:v>
      </x:c>
    </x:row>
    <x:row r="22" ht="30" customHeight="1">
      <x:c r="A22" s="9" t="n">
        <x:v>21</x:v>
      </x:c>
      <x:c r="B22" s="11" t="n">
        <x:v>6.9</x:v>
      </x:c>
      <x:c r="C22" s="3" t="str">
        <x:v>NA</x:v>
      </x:c>
      <x:c r="D22" s="11" t="n">
        <x:v>6.9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8" hidden="0" customWidth="1"/>
    <x:col min="3" max="3" width="13" hidden="0" customWidth="1"/>
    <x:col min="4" max="4" width="15" hidden="0" customWidth="1"/>
    <x:col min="5" max="5" width="23" hidden="0" customWidth="1"/>
    <x:col min="6" max="6" width="24" hidden="0" customWidth="1"/>
  </x:cols>
  <x:sheetData>
    <x:row r="1" ht="64" customHeight="1">
      <x:c r="A1" s="6" t="str">
        <x:v>Dataset / period</x:v>
      </x:c>
      <x:c r="B1" s="6" t="str">
        <x:v>Retention step or partition</x:v>
      </x:c>
      <x:c r="C1" s="6" t="str">
        <x:v>Entering n</x:v>
      </x:c>
      <x:c r="D1" s="6" t="str">
        <x:v>Removed n</x:v>
      </x:c>
      <x:c r="E1" s="6" t="str">
        <x:v>Retained / partition n</x:v>
      </x:c>
      <x:c r="F1" s="6" t="str">
        <x:v>Counting unit</x:v>
      </x:c>
    </x:row>
    <x:row r="2" ht="30" customHeight="1">
      <x:c r="A2" s="3" t="str">
        <x:v>INSPIRE</x:v>
      </x:c>
      <x:c r="B2" s="3" t="str">
        <x:v>raw operations</x:v>
      </x:c>
      <x:c r="C2" s="3" t="str">
        <x:v>NA</x:v>
      </x:c>
      <x:c r="D2" s="3" t="str">
        <x:v>NA</x:v>
      </x:c>
      <x:c r="E2" s="9" t="n">
        <x:v>130960</x:v>
      </x:c>
      <x:c r="F2" s="3" t="str">
        <x:v>operation records</x:v>
      </x:c>
    </x:row>
    <x:row r="3" ht="36" customHeight="1">
      <x:c r="A3" s="7" t="str">
        <x:v>INSPIRE</x:v>
      </x:c>
      <x:c r="B3" s="7" t="str">
        <x:v>Operation ID check; no duplicates or missing IDs</x:v>
      </x:c>
      <x:c r="C3" s="10" t="n">
        <x:v>130960</x:v>
      </x:c>
      <x:c r="D3" s="10" t="n">
        <x:v>0</x:v>
      </x:c>
      <x:c r="E3" s="10" t="n">
        <x:v>130960</x:v>
      </x:c>
      <x:c r="F3" s="7" t="str">
        <x:v>operation records</x:v>
      </x:c>
    </x:row>
    <x:row r="4" ht="30" customHeight="1">
      <x:c r="A4" s="3" t="str">
        <x:v>INSPIRE</x:v>
      </x:c>
      <x:c r="B4" s="3" t="str">
        <x:v>adult general anesthesia</x:v>
      </x:c>
      <x:c r="C4" s="9" t="n">
        <x:v>130960</x:v>
      </x:c>
      <x:c r="D4" s="9" t="n">
        <x:v>28170</x:v>
      </x:c>
      <x:c r="E4" s="9" t="n">
        <x:v>102790</x:v>
      </x:c>
      <x:c r="F4" s="3" t="str">
        <x:v>operation records</x:v>
      </x:c>
    </x:row>
    <x:row r="5" ht="30" customHeight="1">
      <x:c r="A5" s="7" t="str">
        <x:v>INSPIRE</x:v>
      </x:c>
      <x:c r="B5" s="7" t="str">
        <x:v>valid time duration</x:v>
      </x:c>
      <x:c r="C5" s="10" t="n">
        <x:v>102790</x:v>
      </x:c>
      <x:c r="D5" s="10" t="n">
        <x:v>1042</x:v>
      </x:c>
      <x:c r="E5" s="10" t="n">
        <x:v>101748</x:v>
      </x:c>
      <x:c r="F5" s="7" t="str">
        <x:v>operation records</x:v>
      </x:c>
    </x:row>
    <x:row r="6" ht="30" customHeight="1">
      <x:c r="A6" s="3" t="str">
        <x:v>INSPIRE</x:v>
      </x:c>
      <x:c r="B6" s="3" t="str">
        <x:v>surgery scope eligible corrected</x:v>
      </x:c>
      <x:c r="C6" s="9" t="n">
        <x:v>101748</x:v>
      </x:c>
      <x:c r="D6" s="9" t="n">
        <x:v>18893</x:v>
      </x:c>
      <x:c r="E6" s="9" t="n">
        <x:v>82855</x:v>
      </x:c>
      <x:c r="F6" s="3" t="str">
        <x:v>operation records</x:v>
      </x:c>
    </x:row>
    <x:row r="7" ht="36" customHeight="1">
      <x:c r="A7" s="7" t="str">
        <x:v>INSPIRE</x:v>
      </x:c>
      <x:c r="B7" s="7" t="str">
        <x:v>first clinically eligible corrected</x:v>
      </x:c>
      <x:c r="C7" s="10" t="n">
        <x:v>82855</x:v>
      </x:c>
      <x:c r="D7" s="10" t="n">
        <x:v>15188</x:v>
      </x:c>
      <x:c r="E7" s="10" t="n">
        <x:v>67667</x:v>
      </x:c>
      <x:c r="F7" s="7" t="str">
        <x:v>one operation / patient</x:v>
      </x:c>
    </x:row>
    <x:row r="8" ht="36" customHeight="1">
      <x:c r="A8" s="3" t="str">
        <x:v>INSPIRE</x:v>
      </x:c>
      <x:c r="B8" s="3" t="str">
        <x:v>first with baseline</x:v>
      </x:c>
      <x:c r="C8" s="9" t="n">
        <x:v>67667</x:v>
      </x:c>
      <x:c r="D8" s="9" t="n">
        <x:v>33503</x:v>
      </x:c>
      <x:c r="E8" s="9" t="n">
        <x:v>34164</x:v>
      </x:c>
      <x:c r="F8" s="3" t="str">
        <x:v>one operation / patient</x:v>
      </x:c>
    </x:row>
    <x:row r="9" ht="36" customHeight="1">
      <x:c r="A9" s="7" t="str">
        <x:v>INSPIRE</x:v>
      </x:c>
      <x:c r="B9" s="7" t="str">
        <x:v>first baseline under4</x:v>
      </x:c>
      <x:c r="C9" s="10" t="n">
        <x:v>34164</x:v>
      </x:c>
      <x:c r="D9" s="10" t="n">
        <x:v>770</x:v>
      </x:c>
      <x:c r="E9" s="10" t="n">
        <x:v>33394</x:v>
      </x:c>
      <x:c r="F9" s="7" t="str">
        <x:v>one operation / patient</x:v>
      </x:c>
    </x:row>
    <x:row r="10" ht="36" customHeight="1">
      <x:c r="A10" s="3" t="str">
        <x:v>INSPIRE</x:v>
      </x:c>
      <x:c r="B10" s="3" t="str">
        <x:v>final outcome observed</x:v>
      </x:c>
      <x:c r="C10" s="9" t="n">
        <x:v>33394</x:v>
      </x:c>
      <x:c r="D10" s="3" t="str">
        <x:v>NA (partition)</x:v>
      </x:c>
      <x:c r="E10" s="9" t="n">
        <x:v>24872</x:v>
      </x:c>
      <x:c r="F10" s="3" t="str">
        <x:v>one operation / patient</x:v>
      </x:c>
    </x:row>
    <x:row r="11" ht="36" customHeight="1">
      <x:c r="A11" s="7" t="str">
        <x:v>INSPIRE</x:v>
      </x:c>
      <x:c r="B11" s="7" t="str">
        <x:v>final outcome unobserved</x:v>
      </x:c>
      <x:c r="C11" s="10" t="n">
        <x:v>33394</x:v>
      </x:c>
      <x:c r="D11" s="7" t="str">
        <x:v>NA (partition)</x:v>
      </x:c>
      <x:c r="E11" s="10" t="n">
        <x:v>8522</x:v>
      </x:c>
      <x:c r="F11" s="7" t="str">
        <x:v>one operation / patient</x:v>
      </x:c>
    </x:row>
    <x:row r="12" ht="36" customHeight="1">
      <x:c r="A12" s="3" t="str">
        <x:v>MOVER all years</x:v>
      </x:c>
      <x:c r="B12" s="3" t="str">
        <x:v>raw operation rows</x:v>
      </x:c>
      <x:c r="C12" s="3" t="str">
        <x:v>NA</x:v>
      </x:c>
      <x:c r="D12" s="3" t="str">
        <x:v>NA</x:v>
      </x:c>
      <x:c r="E12" s="9" t="n">
        <x:v>65728</x:v>
      </x:c>
      <x:c r="F12" s="3" t="str">
        <x:v>operation records</x:v>
      </x:c>
    </x:row>
    <x:row r="13" ht="36" customHeight="1">
      <x:c r="A13" s="7" t="str">
        <x:v>MOVER all years</x:v>
      </x:c>
      <x:c r="B13" s="7" t="str">
        <x:v>after duplicate resolution</x:v>
      </x:c>
      <x:c r="C13" s="10" t="n">
        <x:v>65728</x:v>
      </x:c>
      <x:c r="D13" s="10" t="n">
        <x:v>1382</x:v>
      </x:c>
      <x:c r="E13" s="10" t="n">
        <x:v>64346</x:v>
      </x:c>
      <x:c r="F13" s="7" t="str">
        <x:v>operation records</x:v>
      </x:c>
    </x:row>
    <x:row r="14" ht="36" customHeight="1">
      <x:c r="A14" s="3" t="str">
        <x:v>MOVER all years</x:v>
      </x:c>
      <x:c r="B14" s="3" t="str">
        <x:v>adult general anesthesia</x:v>
      </x:c>
      <x:c r="C14" s="9" t="n">
        <x:v>64346</x:v>
      </x:c>
      <x:c r="D14" s="9" t="n">
        <x:v>12634</x:v>
      </x:c>
      <x:c r="E14" s="9" t="n">
        <x:v>51712</x:v>
      </x:c>
      <x:c r="F14" s="3" t="str">
        <x:v>operation records</x:v>
      </x:c>
    </x:row>
    <x:row r="15" ht="36" customHeight="1">
      <x:c r="A15" s="7" t="str">
        <x:v>MOVER all years</x:v>
      </x:c>
      <x:c r="B15" s="7" t="str">
        <x:v>valid time duration</x:v>
      </x:c>
      <x:c r="C15" s="10" t="n">
        <x:v>51712</x:v>
      </x:c>
      <x:c r="D15" s="10" t="n">
        <x:v>2542</x:v>
      </x:c>
      <x:c r="E15" s="10" t="n">
        <x:v>49170</x:v>
      </x:c>
      <x:c r="F15" s="7" t="str">
        <x:v>operation records</x:v>
      </x:c>
    </x:row>
    <x:row r="16" ht="36" customHeight="1">
      <x:c r="A16" s="3" t="str">
        <x:v>MOVER all years</x:v>
      </x:c>
      <x:c r="B16" s="3" t="str">
        <x:v>surgery scope eligible</x:v>
      </x:c>
      <x:c r="C16" s="9" t="n">
        <x:v>49170</x:v>
      </x:c>
      <x:c r="D16" s="9" t="n">
        <x:v>1918</x:v>
      </x:c>
      <x:c r="E16" s="9" t="n">
        <x:v>47252</x:v>
      </x:c>
      <x:c r="F16" s="3" t="str">
        <x:v>operation records</x:v>
      </x:c>
    </x:row>
    <x:row r="17" ht="36" customHeight="1">
      <x:c r="A17" s="7" t="str">
        <x:v>MOVER all years</x:v>
      </x:c>
      <x:c r="B17" s="7" t="str">
        <x:v>first clinically eligible</x:v>
      </x:c>
      <x:c r="C17" s="10" t="n">
        <x:v>47252</x:v>
      </x:c>
      <x:c r="D17" s="10" t="n">
        <x:v>14089</x:v>
      </x:c>
      <x:c r="E17" s="10" t="n">
        <x:v>33163</x:v>
      </x:c>
      <x:c r="F17" s="7" t="str">
        <x:v>one operation / patient</x:v>
      </x:c>
    </x:row>
    <x:row r="18" ht="36" customHeight="1">
      <x:c r="A18" s="3" t="str">
        <x:v>MOVER all years</x:v>
      </x:c>
      <x:c r="B18" s="3" t="str">
        <x:v>first with baseline</x:v>
      </x:c>
      <x:c r="C18" s="9" t="n">
        <x:v>33163</x:v>
      </x:c>
      <x:c r="D18" s="9" t="n">
        <x:v>20714</x:v>
      </x:c>
      <x:c r="E18" s="9" t="n">
        <x:v>12449</x:v>
      </x:c>
      <x:c r="F18" s="3" t="str">
        <x:v>one operation / patient</x:v>
      </x:c>
    </x:row>
    <x:row r="19" ht="36" customHeight="1">
      <x:c r="A19" s="7" t="str">
        <x:v>MOVER all years</x:v>
      </x:c>
      <x:c r="B19" s="7" t="str">
        <x:v>first baseline under4</x:v>
      </x:c>
      <x:c r="C19" s="10" t="n">
        <x:v>12449</x:v>
      </x:c>
      <x:c r="D19" s="10" t="n">
        <x:v>979</x:v>
      </x:c>
      <x:c r="E19" s="10" t="n">
        <x:v>11470</x:v>
      </x:c>
      <x:c r="F19" s="7" t="str">
        <x:v>one operation / patient</x:v>
      </x:c>
    </x:row>
    <x:row r="20" ht="36" customHeight="1">
      <x:c r="A20" s="3" t="str">
        <x:v>MOVER 2021</x:v>
      </x:c>
      <x:c r="B20" s="3" t="str">
        <x:v>Calendar-year partition; other years not in this cohort</x:v>
      </x:c>
      <x:c r="C20" s="9" t="n">
        <x:v>11470</x:v>
      </x:c>
      <x:c r="D20" s="9" t="n">
        <x:v>8668</x:v>
      </x:c>
      <x:c r="E20" s="9" t="n">
        <x:v>2802</x:v>
      </x:c>
      <x:c r="F20" s="3" t="str">
        <x:v>one operation / patient</x:v>
      </x:c>
    </x:row>
    <x:row r="21" ht="36" customHeight="1">
      <x:c r="A21" s="7" t="str">
        <x:v>MOVER 2021</x:v>
      </x:c>
      <x:c r="B21" s="7" t="str">
        <x:v>outcome observed</x:v>
      </x:c>
      <x:c r="C21" s="10" t="n">
        <x:v>2802</x:v>
      </x:c>
      <x:c r="D21" s="7" t="str">
        <x:v>NA (partition)</x:v>
      </x:c>
      <x:c r="E21" s="10" t="n">
        <x:v>2212</x:v>
      </x:c>
      <x:c r="F21" s="7" t="str">
        <x:v>one operation / patient</x:v>
      </x:c>
    </x:row>
    <x:row r="22" ht="36" customHeight="1">
      <x:c r="A22" s="3" t="str">
        <x:v>MOVER 2021</x:v>
      </x:c>
      <x:c r="B22" s="3" t="str">
        <x:v>outcome unobserved</x:v>
      </x:c>
      <x:c r="C22" s="9" t="n">
        <x:v>2802</x:v>
      </x:c>
      <x:c r="D22" s="3" t="str">
        <x:v>NA (partition)</x:v>
      </x:c>
      <x:c r="E22" s="9" t="n">
        <x:v>590</x:v>
      </x:c>
      <x:c r="F22" s="3" t="str">
        <x:v>one operation / patient</x:v>
      </x:c>
    </x:row>
    <x:row r="23" ht="36" customHeight="1">
      <x:c r="A23" s="7" t="str">
        <x:v>MOVER 2022</x:v>
      </x:c>
      <x:c r="B23" s="7" t="str">
        <x:v>Calendar-year partition; other years not in this cohort</x:v>
      </x:c>
      <x:c r="C23" s="10" t="n">
        <x:v>11470</x:v>
      </x:c>
      <x:c r="D23" s="10" t="n">
        <x:v>8883</x:v>
      </x:c>
      <x:c r="E23" s="10" t="n">
        <x:v>2587</x:v>
      </x:c>
      <x:c r="F23" s="7" t="str">
        <x:v>one operation / patient</x:v>
      </x:c>
    </x:row>
    <x:row r="24" ht="36" customHeight="1">
      <x:c r="A24" s="3" t="str">
        <x:v>MOVER 2022</x:v>
      </x:c>
      <x:c r="B24" s="3" t="str">
        <x:v>outcome observed</x:v>
      </x:c>
      <x:c r="C24" s="9" t="n">
        <x:v>2587</x:v>
      </x:c>
      <x:c r="D24" s="3" t="str">
        <x:v>NA (partition)</x:v>
      </x:c>
      <x:c r="E24" s="9" t="n">
        <x:v>2033</x:v>
      </x:c>
      <x:c r="F24" s="3" t="str">
        <x:v>one operation / patient</x:v>
      </x:c>
    </x:row>
    <x:row r="25" ht="36" customHeight="1">
      <x:c r="A25" s="7" t="str">
        <x:v>MOVER 2022</x:v>
      </x:c>
      <x:c r="B25" s="7" t="str">
        <x:v>outcome unobserved</x:v>
      </x:c>
      <x:c r="C25" s="10" t="n">
        <x:v>2587</x:v>
      </x:c>
      <x:c r="D25" s="7" t="str">
        <x:v>NA (partition)</x:v>
      </x:c>
      <x:c r="E25" s="10" t="n">
        <x:v>554</x:v>
      </x:c>
      <x:c r="F25" s="7" t="str">
        <x:v>one operation / patient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9" hidden="0" customWidth="1"/>
    <x:col min="4" max="4" width="15" hidden="0" customWidth="1"/>
    <x:col min="5" max="5" width="15" hidden="0" customWidth="1"/>
    <x:col min="6" max="6" width="13" hidden="0" customWidth="1"/>
    <x:col min="7" max="7" width="17" hidden="0" customWidth="1"/>
    <x:col min="8" max="8" width="17" hidden="0" customWidth="1"/>
  </x:cols>
  <x:sheetData>
    <x:row r="1" ht="64" customHeight="1">
      <x:c r="A1" s="6" t="str">
        <x:v>Cohort</x:v>
      </x:c>
      <x:c r="B1" s="6" t="str">
        <x:v>Observed n</x:v>
      </x:c>
      <x:c r="C1" s="6" t="str">
        <x:v>Non-AKI to non-AKI</x:v>
      </x:c>
      <x:c r="D1" s="6" t="str">
        <x:v>Non-AKI to AKI</x:v>
      </x:c>
      <x:c r="E1" s="6" t="str">
        <x:v>AKI to non-AKI</x:v>
      </x:c>
      <x:c r="F1" s="6" t="str">
        <x:v>AKI to AKI</x:v>
      </x:c>
      <x:c r="G1" s="6" t="str">
        <x:v>Discordant n (%)</x:v>
      </x:c>
      <x:c r="H1" s="6" t="str">
        <x:v>Net event change</x:v>
      </x:c>
    </x:row>
    <x:row r="2" ht="30" customHeight="1">
      <x:c r="A2" s="3" t="str">
        <x:v>MOVER 2021</x:v>
      </x:c>
      <x:c r="B2" s="9" t="n">
        <x:v>2212</x:v>
      </x:c>
      <x:c r="C2" s="9" t="n">
        <x:v>1799</x:v>
      </x:c>
      <x:c r="D2" s="9" t="n">
        <x:v>139</x:v>
      </x:c>
      <x:c r="E2" s="9" t="n">
        <x:v>31</x:v>
      </x:c>
      <x:c r="F2" s="9" t="n">
        <x:v>243</x:v>
      </x:c>
      <x:c r="G2" s="3" t="str">
        <x:v>170 (7.7%)</x:v>
      </x:c>
      <x:c r="H2" s="9" t="n">
        <x:v>108</x:v>
      </x:c>
    </x:row>
    <x:row r="3" ht="30" customHeight="1">
      <x:c r="A3" s="7" t="str">
        <x:v>MOVER 2022</x:v>
      </x:c>
      <x:c r="B3" s="10" t="n">
        <x:v>2033</x:v>
      </x:c>
      <x:c r="C3" s="10" t="n">
        <x:v>1654</x:v>
      </x:c>
      <x:c r="D3" s="10" t="n">
        <x:v>120</x:v>
      </x:c>
      <x:c r="E3" s="10" t="n">
        <x:v>43</x:v>
      </x:c>
      <x:c r="F3" s="10" t="n">
        <x:v>216</x:v>
      </x:c>
      <x:c r="G3" s="7" t="str">
        <x:v>163 (8.0%)</x:v>
      </x:c>
      <x:c r="H3" s="10" t="n">
        <x:v>77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</x:cols>
  <x:sheetData>
    <x:row r="1" ht="64" customHeight="1">
      <x:c r="A1" s="6" t="str">
        <x:v>Metric</x:v>
      </x:c>
      <x:c r="B1" s="6" t="str">
        <x:v>Label / contrast</x:v>
      </x:c>
      <x:c r="C1" s="6" t="str">
        <x:v>Estimate</x:v>
      </x:c>
      <x:c r="D1" s="6" t="str">
        <x:v>95% lower</x:v>
      </x:c>
      <x:c r="E1" s="6" t="str">
        <x:v>95% upper</x:v>
      </x:c>
      <x:c r="F1" s="6" t="str">
        <x:v>Observed n</x:v>
      </x:c>
      <x:c r="G1" s="6" t="str">
        <x:v>Paired replicates</x:v>
      </x:c>
    </x:row>
    <x:row r="2" ht="30" customHeight="1">
      <x:c r="A2" s="3" t="str">
        <x:v>event_rate</x:v>
      </x:c>
      <x:c r="B2" s="3" t="str">
        <x:v>original</x:v>
      </x:c>
      <x:c r="C2" s="11" t="n">
        <x:v>0.1274</x:v>
      </x:c>
      <x:c r="D2" s="11" t="n">
        <x:v>0.1121</x:v>
      </x:c>
      <x:c r="E2" s="11" t="n">
        <x:v>0.1422</x:v>
      </x:c>
      <x:c r="F2" s="9" t="n">
        <x:v>2033</x:v>
      </x:c>
      <x:c r="G2" s="9" t="n">
        <x:v>1000</x:v>
      </x:c>
    </x:row>
    <x:row r="3" ht="30" customHeight="1">
      <x:c r="A3" s="7" t="str">
        <x:v>event_rate</x:v>
      </x:c>
      <x:c r="B3" s="7" t="str">
        <x:v>coarsened</x:v>
      </x:c>
      <x:c r="C3" s="12" t="n">
        <x:v>0.1653</x:v>
      </x:c>
      <x:c r="D3" s="12" t="n">
        <x:v>0.149</x:v>
      </x:c>
      <x:c r="E3" s="12" t="n">
        <x:v>0.182</x:v>
      </x:c>
      <x:c r="F3" s="10" t="n">
        <x:v>2033</x:v>
      </x:c>
      <x:c r="G3" s="10" t="n">
        <x:v>1000</x:v>
      </x:c>
    </x:row>
    <x:row r="4" ht="30" customHeight="1">
      <x:c r="A4" s="3" t="str">
        <x:v>event_rate</x:v>
      </x:c>
      <x:c r="B4" s="3" t="str">
        <x:v>difference</x:v>
      </x:c>
      <x:c r="C4" s="11" t="n">
        <x:v>0.0379</x:v>
      </x:c>
      <x:c r="D4" s="11" t="n">
        <x:v>0.0261</x:v>
      </x:c>
      <x:c r="E4" s="11" t="n">
        <x:v>0.0497</x:v>
      </x:c>
      <x:c r="F4" s="9" t="n">
        <x:v>2033</x:v>
      </x:c>
      <x:c r="G4" s="9" t="n">
        <x:v>1000</x:v>
      </x:c>
    </x:row>
    <x:row r="5" ht="30" customHeight="1">
      <x:c r="A5" s="7" t="str">
        <x:v>oe_ratio</x:v>
      </x:c>
      <x:c r="B5" s="7" t="str">
        <x:v>original</x:v>
      </x:c>
      <x:c r="C5" s="12" t="n">
        <x:v>1.0731</x:v>
      </x:c>
      <x:c r="D5" s="12" t="n">
        <x:v>0.9576</x:v>
      </x:c>
      <x:c r="E5" s="12" t="n">
        <x:v>1.1901</x:v>
      </x:c>
      <x:c r="F5" s="10" t="n">
        <x:v>2033</x:v>
      </x:c>
      <x:c r="G5" s="10" t="n">
        <x:v>1000</x:v>
      </x:c>
    </x:row>
    <x:row r="6" ht="30" customHeight="1">
      <x:c r="A6" s="3" t="str">
        <x:v>oe_ratio</x:v>
      </x:c>
      <x:c r="B6" s="3" t="str">
        <x:v>coarsened</x:v>
      </x:c>
      <x:c r="C6" s="11" t="n">
        <x:v>1.3921</x:v>
      </x:c>
      <x:c r="D6" s="11" t="n">
        <x:v>1.2554</x:v>
      </x:c>
      <x:c r="E6" s="11" t="n">
        <x:v>1.5277</x:v>
      </x:c>
      <x:c r="F6" s="9" t="n">
        <x:v>2033</x:v>
      </x:c>
      <x:c r="G6" s="9" t="n">
        <x:v>1000</x:v>
      </x:c>
    </x:row>
    <x:row r="7" ht="30" customHeight="1">
      <x:c r="A7" s="7" t="str">
        <x:v>oe_ratio</x:v>
      </x:c>
      <x:c r="B7" s="7" t="str">
        <x:v>difference</x:v>
      </x:c>
      <x:c r="C7" s="12" t="n">
        <x:v>0.319</x:v>
      </x:c>
      <x:c r="D7" s="12" t="n">
        <x:v>0.2185</x:v>
      </x:c>
      <x:c r="E7" s="12" t="n">
        <x:v>0.4212</x:v>
      </x:c>
      <x:c r="F7" s="10" t="n">
        <x:v>2033</x:v>
      </x:c>
      <x:c r="G7" s="10" t="n">
        <x:v>1000</x:v>
      </x:c>
    </x:row>
    <x:row r="8" ht="30" customHeight="1">
      <x:c r="A8" s="3" t="str">
        <x:v>auroc</x:v>
      </x:c>
      <x:c r="B8" s="3" t="str">
        <x:v>original</x:v>
      </x:c>
      <x:c r="C8" s="11" t="n">
        <x:v>0.6569</x:v>
      </x:c>
      <x:c r="D8" s="11" t="n">
        <x:v>0.6218</x:v>
      </x:c>
      <x:c r="E8" s="11" t="n">
        <x:v>0.6912</x:v>
      </x:c>
      <x:c r="F8" s="9" t="n">
        <x:v>2033</x:v>
      </x:c>
      <x:c r="G8" s="9" t="n">
        <x:v>1000</x:v>
      </x:c>
    </x:row>
    <x:row r="9" ht="30" customHeight="1">
      <x:c r="A9" s="7" t="str">
        <x:v>auroc</x:v>
      </x:c>
      <x:c r="B9" s="7" t="str">
        <x:v>coarsened</x:v>
      </x:c>
      <x:c r="C9" s="12" t="n">
        <x:v>0.6232</x:v>
      </x:c>
      <x:c r="D9" s="12" t="n">
        <x:v>0.59</x:v>
      </x:c>
      <x:c r="E9" s="12" t="n">
        <x:v>0.6548</x:v>
      </x:c>
      <x:c r="F9" s="10" t="n">
        <x:v>2033</x:v>
      </x:c>
      <x:c r="G9" s="10" t="n">
        <x:v>1000</x:v>
      </x:c>
    </x:row>
    <x:row r="10" ht="30" customHeight="1">
      <x:c r="A10" s="3" t="str">
        <x:v>auroc</x:v>
      </x:c>
      <x:c r="B10" s="3" t="str">
        <x:v>difference</x:v>
      </x:c>
      <x:c r="C10" s="11" t="n">
        <x:v>-0.0336</x:v>
      </x:c>
      <x:c r="D10" s="11" t="n">
        <x:v>-0.0625</x:v>
      </x:c>
      <x:c r="E10" s="11" t="n">
        <x:v>-0.0055</x:v>
      </x:c>
      <x:c r="F10" s="9" t="n">
        <x:v>2033</x:v>
      </x:c>
      <x:c r="G10" s="9" t="n">
        <x:v>1000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6" hidden="0" customWidth="1"/>
  </x:cols>
  <x:sheetData>
    <x:row r="1" ht="64" customHeight="1">
      <x:c r="A1" s="6" t="str">
        <x:v>Dataset</x:v>
      </x:c>
      <x:c r="B1" s="6" t="str">
        <x:v>Flag among adult general-anesthesia operations with valid duration</x:v>
      </x:c>
      <x:c r="C1" s="6" t="str">
        <x:v>Flag-positive n</x:v>
      </x:c>
    </x:row>
    <x:row r="2" ht="30" customHeight="1">
      <x:c r="A2" s="3" t="str">
        <x:v>INSPIRE</x:v>
      </x:c>
      <x:c r="B2" s="3" t="str">
        <x:v>CTS_department</x:v>
      </x:c>
      <x:c r="C2" s="9" t="n">
        <x:v>8533</x:v>
      </x:c>
    </x:row>
    <x:row r="3" ht="30" customHeight="1">
      <x:c r="A3" s="7" t="str">
        <x:v>INSPIRE</x:v>
      </x:c>
      <x:c r="B3" s="7" t="str">
        <x:v>CPB_record</x:v>
      </x:c>
      <x:c r="C3" s="10" t="n">
        <x:v>2520</x:v>
      </x:c>
    </x:row>
    <x:row r="4" ht="30" customHeight="1">
      <x:c r="A4" s="3" t="str">
        <x:v>INSPIRE</x:v>
      </x:c>
      <x:c r="B4" s="3" t="str">
        <x:v>cardiac_PCS</x:v>
      </x:c>
      <x:c r="C4" s="9" t="n">
        <x:v>2775</x:v>
      </x:c>
    </x:row>
    <x:row r="5" ht="30" customHeight="1">
      <x:c r="A5" s="7" t="str">
        <x:v>INSPIRE</x:v>
      </x:c>
      <x:c r="B5" s="7" t="str">
        <x:v>cardiac_union</x:v>
      </x:c>
      <x:c r="C5" s="10" t="n">
        <x:v>8976</x:v>
      </x:c>
    </x:row>
    <x:row r="6" ht="30" customHeight="1">
      <x:c r="A6" s="3" t="str">
        <x:v>INSPIRE</x:v>
      </x:c>
      <x:c r="B6" s="3" t="str">
        <x:v>OG_department</x:v>
      </x:c>
      <x:c r="C6" s="9" t="n">
        <x:v>9915</x:v>
      </x:c>
    </x:row>
    <x:row r="7" ht="30" customHeight="1">
      <x:c r="A7" s="7" t="str">
        <x:v>INSPIRE</x:v>
      </x:c>
      <x:c r="B7" s="7" t="str">
        <x:v>obstetric_PCS_7char</x:v>
      </x:c>
      <x:c r="C7" s="10" t="n">
        <x:v>0</x:v>
      </x:c>
    </x:row>
    <x:row r="8" ht="30" customHeight="1">
      <x:c r="A8" s="3" t="str">
        <x:v>INSPIRE</x:v>
      </x:c>
      <x:c r="B8" s="3" t="str">
        <x:v>obstetric_PCS_5char</x:v>
      </x:c>
      <x:c r="C8" s="9" t="n">
        <x:v>264</x:v>
      </x:c>
    </x:row>
    <x:row r="9" ht="30" customHeight="1">
      <x:c r="A9" s="7" t="str">
        <x:v>INSPIRE</x:v>
      </x:c>
      <x:c r="B9" s="7" t="str">
        <x:v>obstetric_union_corrected</x:v>
      </x:c>
      <x:c r="C9" s="10" t="str">
        <x:v>suppressed</x:v>
      </x:c>
    </x:row>
    <x:row r="10" ht="30" customHeight="1">
      <x:c r="A10" s="3" t="str">
        <x:v>INSPIRE</x:v>
      </x:c>
      <x:c r="B10" s="3" t="str">
        <x:v>cardiac_obstetric_overlap</x:v>
      </x:c>
      <x:c r="C10" s="9" t="str">
        <x:v>&lt;5</x:v>
      </x:c>
    </x:row>
    <x:row r="11" ht="30" customHeight="1">
      <x:c r="A11" s="7" t="str">
        <x:v>INSPIRE</x:v>
      </x:c>
      <x:c r="B11" s="7" t="str">
        <x:v>CTS_without_CPB_or_cardiac_PCS</x:v>
      </x:c>
      <x:c r="C11" s="10" t="n">
        <x:v>5859</x:v>
      </x:c>
    </x:row>
    <x:row r="12" ht="30" customHeight="1">
      <x:c r="A12" s="3" t="str">
        <x:v>INSPIRE</x:v>
      </x:c>
      <x:c r="B12" s="3" t="str">
        <x:v>OG_without_obstetric_PCS</x:v>
      </x:c>
      <x:c r="C12" s="9" t="str">
        <x:v>suppressed</x:v>
      </x:c>
    </x:row>
    <x:row r="13" ht="36" customHeight="1">
      <x:c r="A13" s="7" t="str">
        <x:v>MOVER all years</x:v>
      </x:c>
      <x:c r="B13" s="7" t="str">
        <x:v>cardiac_procedure</x:v>
      </x:c>
      <x:c r="C13" s="10" t="n">
        <x:v>801</x:v>
      </x:c>
    </x:row>
    <x:row r="14" ht="36" customHeight="1">
      <x:c r="A14" s="3" t="str">
        <x:v>MOVER all years</x:v>
      </x:c>
      <x:c r="B14" s="3" t="str">
        <x:v>obstetric_procedure</x:v>
      </x:c>
      <x:c r="C14" s="9" t="n">
        <x:v>1117</x:v>
      </x:c>
    </x:row>
    <x:row r="15" ht="36" customHeight="1">
      <x:c r="A15" s="7" t="str">
        <x:v>MOVER all years</x:v>
      </x:c>
      <x:c r="B15" s="7" t="str">
        <x:v>cardiac_obstetric_overlap</x:v>
      </x:c>
      <x:c r="C15" s="10" t="n">
        <x:v>0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1" hidden="0" customWidth="1"/>
    <x:col min="4" max="4" width="32" hidden="0" customWidth="1"/>
    <x:col min="5" max="5" width="20" hidden="0" customWidth="1"/>
    <x:col min="6" max="6" width="18" hidden="0" customWidth="1"/>
    <x:col min="7" max="7" width="13" hidden="0" customWidth="1"/>
    <x:col min="8" max="8" width="13" hidden="0" customWidth="1"/>
  </x:cols>
  <x:sheetData>
    <x:row r="1" ht="64" customHeight="1">
      <x:c r="A1" s="6" t="str">
        <x:v>Cohort</x:v>
      </x:c>
      <x:c r="B1" s="6" t="str">
        <x:v>Variable</x:v>
      </x:c>
      <x:c r="C1" s="6" t="str">
        <x:v>Level</x:v>
      </x:c>
      <x:c r="D1" s="6" t="str">
        <x:v>Full eligible mean / proportion</x:v>
      </x:c>
      <x:c r="E1" s="6" t="str">
        <x:v>Observed unweighted</x:v>
      </x:c>
      <x:c r="F1" s="6" t="str">
        <x:v>Observed weighted</x:v>
      </x:c>
      <x:c r="G1" s="6" t="str">
        <x:v>SMD before</x:v>
      </x:c>
      <x:c r="H1" s="6" t="str">
        <x:v>SMD after</x:v>
      </x:c>
    </x:row>
    <x:row r="2" ht="36" customHeight="1">
      <x:c r="A2" s="3" t="str">
        <x:v>INSPIRE</x:v>
      </x:c>
      <x:c r="B2" s="3" t="str">
        <x:v>age</x:v>
      </x:c>
      <x:c r="C2" s="3" t="str">
        <x:v>continuous_or_binary</x:v>
      </x:c>
      <x:c r="D2" s="11" t="n">
        <x:v>55.977</x:v>
      </x:c>
      <x:c r="E2" s="11" t="n">
        <x:v>57.5607</x:v>
      </x:c>
      <x:c r="F2" s="11" t="n">
        <x:v>55.8599</x:v>
      </x:c>
      <x:c r="G2" s="11" t="n">
        <x:v>0.1</x:v>
      </x:c>
      <x:c r="H2" s="11" t="n">
        <x:v>-0.0074</x:v>
      </x:c>
    </x:row>
    <x:row r="3" ht="36" customHeight="1">
      <x:c r="A3" s="7" t="str">
        <x:v>INSPIRE</x:v>
      </x:c>
      <x:c r="B3" s="7" t="str">
        <x:v>sex_male</x:v>
      </x:c>
      <x:c r="C3" s="7" t="str">
        <x:v>continuous_or_binary</x:v>
      </x:c>
      <x:c r="D3" s="12" t="n">
        <x:v>0.5142</x:v>
      </x:c>
      <x:c r="E3" s="12" t="n">
        <x:v>0.5449</x:v>
      </x:c>
      <x:c r="F3" s="12" t="n">
        <x:v>0.5149</x:v>
      </x:c>
      <x:c r="G3" s="12" t="n">
        <x:v>0.0615</x:v>
      </x:c>
      <x:c r="H3" s="12" t="n">
        <x:v>0.0014</x:v>
      </x:c>
    </x:row>
    <x:row r="4" ht="36" customHeight="1">
      <x:c r="A4" s="3" t="str">
        <x:v>INSPIRE</x:v>
      </x:c>
      <x:c r="B4" s="3" t="str">
        <x:v>duration_h</x:v>
      </x:c>
      <x:c r="C4" s="3" t="str">
        <x:v>continuous_or_binary</x:v>
      </x:c>
      <x:c r="D4" s="11" t="n">
        <x:v>3.0115</x:v>
      </x:c>
      <x:c r="E4" s="11" t="n">
        <x:v>3.4673</x:v>
      </x:c>
      <x:c r="F4" s="11" t="n">
        <x:v>3.0493</x:v>
      </x:c>
      <x:c r="G4" s="11" t="n">
        <x:v>0.2344</x:v>
      </x:c>
      <x:c r="H4" s="11" t="n">
        <x:v>0.0195</x:v>
      </x:c>
    </x:row>
    <x:row r="5" ht="36" customHeight="1">
      <x:c r="A5" s="7" t="str">
        <x:v>INSPIRE</x:v>
      </x:c>
      <x:c r="B5" s="7" t="str">
        <x:v>baseline_cr</x:v>
      </x:c>
      <x:c r="C5" s="7" t="str">
        <x:v>continuous_or_binary</x:v>
      </x:c>
      <x:c r="D5" s="12" t="n">
        <x:v>0.8486</x:v>
      </x:c>
      <x:c r="E5" s="12" t="n">
        <x:v>0.8594</x:v>
      </x:c>
      <x:c r="F5" s="12" t="n">
        <x:v>0.8491</x:v>
      </x:c>
      <x:c r="G5" s="12" t="n">
        <x:v>0.0307</x:v>
      </x:c>
      <x:c r="H5" s="12" t="n">
        <x:v>0.0012</x:v>
      </x:c>
    </x:row>
    <x:row r="6" ht="30" customHeight="1">
      <x:c r="A6" s="3" t="str">
        <x:v>INSPIRE</x:v>
      </x:c>
      <x:c r="B6" s="3" t="str">
        <x:v>asa</x:v>
      </x:c>
      <x:c r="C6" s="9" t="n">
        <x:v>1</x:v>
      </x:c>
      <x:c r="D6" s="11" t="str">
        <x:v>suppressed</x:v>
      </x:c>
      <x:c r="E6" s="11" t="str">
        <x:v>suppressed</x:v>
      </x:c>
      <x:c r="F6" s="11" t="str">
        <x:v>suppressed</x:v>
      </x:c>
      <x:c r="G6" s="11" t="str">
        <x:v>suppressed</x:v>
      </x:c>
      <x:c r="H6" s="11" t="str">
        <x:v>suppressed</x:v>
      </x:c>
    </x:row>
    <x:row r="7" ht="30" customHeight="1">
      <x:c r="A7" s="7" t="str">
        <x:v>INSPIRE</x:v>
      </x:c>
      <x:c r="B7" s="7" t="str">
        <x:v>asa</x:v>
      </x:c>
      <x:c r="C7" s="10" t="n">
        <x:v>2</x:v>
      </x:c>
      <x:c r="D7" s="12" t="str">
        <x:v>suppressed</x:v>
      </x:c>
      <x:c r="E7" s="12" t="str">
        <x:v>suppressed</x:v>
      </x:c>
      <x:c r="F7" s="12" t="str">
        <x:v>suppressed</x:v>
      </x:c>
      <x:c r="G7" s="12" t="str">
        <x:v>suppressed</x:v>
      </x:c>
      <x:c r="H7" s="12" t="str">
        <x:v>suppressed</x:v>
      </x:c>
    </x:row>
    <x:row r="8" ht="30" customHeight="1">
      <x:c r="A8" s="3" t="str">
        <x:v>INSPIRE</x:v>
      </x:c>
      <x:c r="B8" s="3" t="str">
        <x:v>asa</x:v>
      </x:c>
      <x:c r="C8" s="9" t="n">
        <x:v>3</x:v>
      </x:c>
      <x:c r="D8" s="11" t="str">
        <x:v>suppressed</x:v>
      </x:c>
      <x:c r="E8" s="11" t="str">
        <x:v>suppressed</x:v>
      </x:c>
      <x:c r="F8" s="11" t="str">
        <x:v>suppressed</x:v>
      </x:c>
      <x:c r="G8" s="11" t="str">
        <x:v>suppressed</x:v>
      </x:c>
      <x:c r="H8" s="11" t="str">
        <x:v>suppressed</x:v>
      </x:c>
    </x:row>
    <x:row r="9" ht="30" customHeight="1">
      <x:c r="A9" s="7" t="str">
        <x:v>INSPIRE</x:v>
      </x:c>
      <x:c r="B9" s="7" t="str">
        <x:v>asa</x:v>
      </x:c>
      <x:c r="C9" s="10" t="n">
        <x:v>4</x:v>
      </x:c>
      <x:c r="D9" s="12" t="str">
        <x:v>suppressed</x:v>
      </x:c>
      <x:c r="E9" s="12" t="str">
        <x:v>suppressed</x:v>
      </x:c>
      <x:c r="F9" s="12" t="str">
        <x:v>suppressed</x:v>
      </x:c>
      <x:c r="G9" s="12" t="str">
        <x:v>suppressed</x:v>
      </x:c>
      <x:c r="H9" s="12" t="str">
        <x:v>suppressed</x:v>
      </x:c>
    </x:row>
    <x:row r="10" ht="30" customHeight="1">
      <x:c r="A10" s="3" t="str">
        <x:v>INSPIRE</x:v>
      </x:c>
      <x:c r="B10" s="3" t="str">
        <x:v>asa</x:v>
      </x:c>
      <x:c r="C10" s="9" t="n">
        <x:v>5</x:v>
      </x:c>
      <x:c r="D10" s="11" t="str">
        <x:v>suppressed</x:v>
      </x:c>
      <x:c r="E10" s="11" t="str">
        <x:v>suppressed</x:v>
      </x:c>
      <x:c r="F10" s="11" t="str">
        <x:v>suppressed</x:v>
      </x:c>
      <x:c r="G10" s="11" t="str">
        <x:v>suppressed</x:v>
      </x:c>
      <x:c r="H10" s="11" t="str">
        <x:v>suppressed</x:v>
      </x:c>
    </x:row>
    <x:row r="11" ht="30" customHeight="1">
      <x:c r="A11" s="7" t="str">
        <x:v>INSPIRE</x:v>
      </x:c>
      <x:c r="B11" s="7" t="str">
        <x:v>asa</x:v>
      </x:c>
      <x:c r="C11" s="10" t="n">
        <x:v>6</x:v>
      </x:c>
      <x:c r="D11" s="12" t="str">
        <x:v>suppressed</x:v>
      </x:c>
      <x:c r="E11" s="10" t="str">
        <x:v>&lt;0.000202</x:v>
      </x:c>
      <x:c r="F11" s="12" t="str">
        <x:v>suppressed</x:v>
      </x:c>
      <x:c r="G11" s="12" t="str">
        <x:v>suppressed</x:v>
      </x:c>
      <x:c r="H11" s="12" t="str">
        <x:v>suppressed</x:v>
      </x:c>
    </x:row>
    <x:row r="12" ht="30" customHeight="1">
      <x:c r="A12" s="3" t="str">
        <x:v>INSPIRE</x:v>
      </x:c>
      <x:c r="B12" s="3" t="str">
        <x:v>asa</x:v>
      </x:c>
      <x:c r="C12" s="3" t="str">
        <x:v>&lt;missing&gt;</x:v>
      </x:c>
      <x:c r="D12" s="11" t="str">
        <x:v>suppressed</x:v>
      </x:c>
      <x:c r="E12" s="11" t="str">
        <x:v>suppressed</x:v>
      </x:c>
      <x:c r="F12" s="11" t="str">
        <x:v>suppressed</x:v>
      </x:c>
      <x:c r="G12" s="11" t="str">
        <x:v>suppressed</x:v>
      </x:c>
      <x:c r="H12" s="11" t="str">
        <x:v>suppressed</x:v>
      </x:c>
    </x:row>
    <x:row r="13" ht="36" customHeight="1">
      <x:c r="A13" s="7" t="str">
        <x:v>MOVER 2021</x:v>
      </x:c>
      <x:c r="B13" s="7" t="str">
        <x:v>age</x:v>
      </x:c>
      <x:c r="C13" s="7" t="str">
        <x:v>continuous_or_binary</x:v>
      </x:c>
      <x:c r="D13" s="12" t="n">
        <x:v>51.3615</x:v>
      </x:c>
      <x:c r="E13" s="12" t="n">
        <x:v>53.443</x:v>
      </x:c>
      <x:c r="F13" s="12" t="n">
        <x:v>51.5965</x:v>
      </x:c>
      <x:c r="G13" s="12" t="n">
        <x:v>0.1077</x:v>
      </x:c>
      <x:c r="H13" s="12" t="n">
        <x:v>0.0122</x:v>
      </x:c>
    </x:row>
    <x:row r="14" ht="36" customHeight="1">
      <x:c r="A14" s="3" t="str">
        <x:v>MOVER 2021</x:v>
      </x:c>
      <x:c r="B14" s="3" t="str">
        <x:v>sex_male</x:v>
      </x:c>
      <x:c r="C14" s="3" t="str">
        <x:v>continuous_or_binary</x:v>
      </x:c>
      <x:c r="D14" s="11" t="n">
        <x:v>0.5974</x:v>
      </x:c>
      <x:c r="E14" s="11" t="n">
        <x:v>0.6099</x:v>
      </x:c>
      <x:c r="F14" s="11" t="n">
        <x:v>0.5983</x:v>
      </x:c>
      <x:c r="G14" s="11" t="n">
        <x:v>0.0253</x:v>
      </x:c>
      <x:c r="H14" s="11" t="n">
        <x:v>0.0018</x:v>
      </x:c>
    </x:row>
    <x:row r="15" ht="36" customHeight="1">
      <x:c r="A15" s="7" t="str">
        <x:v>MOVER 2021</x:v>
      </x:c>
      <x:c r="B15" s="7" t="str">
        <x:v>duration_h</x:v>
      </x:c>
      <x:c r="C15" s="7" t="str">
        <x:v>continuous_or_binary</x:v>
      </x:c>
      <x:c r="D15" s="12" t="n">
        <x:v>3.3619</x:v>
      </x:c>
      <x:c r="E15" s="12" t="n">
        <x:v>3.5741</x:v>
      </x:c>
      <x:c r="F15" s="12" t="n">
        <x:v>3.3906</x:v>
      </x:c>
      <x:c r="G15" s="12" t="n">
        <x:v>0.1024</x:v>
      </x:c>
      <x:c r="H15" s="12" t="n">
        <x:v>0.0138</x:v>
      </x:c>
    </x:row>
    <x:row r="16" ht="36" customHeight="1">
      <x:c r="A16" s="3" t="str">
        <x:v>MOVER 2021</x:v>
      </x:c>
      <x:c r="B16" s="3" t="str">
        <x:v>baseline_cr</x:v>
      </x:c>
      <x:c r="C16" s="3" t="str">
        <x:v>continuous_or_binary</x:v>
      </x:c>
      <x:c r="D16" s="11" t="n">
        <x:v>0.9035</x:v>
      </x:c>
      <x:c r="E16" s="11" t="n">
        <x:v>0.9078</x:v>
      </x:c>
      <x:c r="F16" s="11" t="n">
        <x:v>0.9022</x:v>
      </x:c>
      <x:c r="G16" s="11" t="n">
        <x:v>0.009</x:v>
      </x:c>
      <x:c r="H16" s="11" t="n">
        <x:v>-0.0026</x:v>
      </x:c>
    </x:row>
    <x:row r="17" ht="30" customHeight="1">
      <x:c r="A17" s="7" t="str">
        <x:v>MOVER 2021</x:v>
      </x:c>
      <x:c r="B17" s="7" t="str">
        <x:v>asa</x:v>
      </x:c>
      <x:c r="C17" s="10" t="n">
        <x:v>1</x:v>
      </x:c>
      <x:c r="D17" s="12" t="str">
        <x:v>suppressed</x:v>
      </x:c>
      <x:c r="E17" s="12" t="str">
        <x:v>suppressed</x:v>
      </x:c>
      <x:c r="F17" s="12" t="str">
        <x:v>suppressed</x:v>
      </x:c>
      <x:c r="G17" s="12" t="str">
        <x:v>suppressed</x:v>
      </x:c>
      <x:c r="H17" s="12" t="str">
        <x:v>suppressed</x:v>
      </x:c>
    </x:row>
    <x:row r="18" ht="30" customHeight="1">
      <x:c r="A18" s="3" t="str">
        <x:v>MOVER 2021</x:v>
      </x:c>
      <x:c r="B18" s="3" t="str">
        <x:v>asa</x:v>
      </x:c>
      <x:c r="C18" s="9" t="n">
        <x:v>2</x:v>
      </x:c>
      <x:c r="D18" s="11" t="str">
        <x:v>suppressed</x:v>
      </x:c>
      <x:c r="E18" s="11" t="str">
        <x:v>suppressed</x:v>
      </x:c>
      <x:c r="F18" s="11" t="str">
        <x:v>suppressed</x:v>
      </x:c>
      <x:c r="G18" s="11" t="str">
        <x:v>suppressed</x:v>
      </x:c>
      <x:c r="H18" s="11" t="str">
        <x:v>suppressed</x:v>
      </x:c>
    </x:row>
    <x:row r="19" ht="30" customHeight="1">
      <x:c r="A19" s="7" t="str">
        <x:v>MOVER 2021</x:v>
      </x:c>
      <x:c r="B19" s="7" t="str">
        <x:v>asa</x:v>
      </x:c>
      <x:c r="C19" s="10" t="n">
        <x:v>3</x:v>
      </x:c>
      <x:c r="D19" s="12" t="str">
        <x:v>suppressed</x:v>
      </x:c>
      <x:c r="E19" s="12" t="str">
        <x:v>suppressed</x:v>
      </x:c>
      <x:c r="F19" s="12" t="str">
        <x:v>suppressed</x:v>
      </x:c>
      <x:c r="G19" s="12" t="str">
        <x:v>suppressed</x:v>
      </x:c>
      <x:c r="H19" s="12" t="str">
        <x:v>suppressed</x:v>
      </x:c>
    </x:row>
    <x:row r="20" ht="30" customHeight="1">
      <x:c r="A20" s="3" t="str">
        <x:v>MOVER 2021</x:v>
      </x:c>
      <x:c r="B20" s="3" t="str">
        <x:v>asa</x:v>
      </x:c>
      <x:c r="C20" s="9" t="n">
        <x:v>4</x:v>
      </x:c>
      <x:c r="D20" s="11" t="str">
        <x:v>suppressed</x:v>
      </x:c>
      <x:c r="E20" s="11" t="str">
        <x:v>suppressed</x:v>
      </x:c>
      <x:c r="F20" s="11" t="str">
        <x:v>suppressed</x:v>
      </x:c>
      <x:c r="G20" s="11" t="str">
        <x:v>suppressed</x:v>
      </x:c>
      <x:c r="H20" s="11" t="str">
        <x:v>suppressed</x:v>
      </x:c>
    </x:row>
    <x:row r="21" ht="30" customHeight="1">
      <x:c r="A21" s="7" t="str">
        <x:v>MOVER 2021</x:v>
      </x:c>
      <x:c r="B21" s="7" t="str">
        <x:v>asa</x:v>
      </x:c>
      <x:c r="C21" s="10" t="n">
        <x:v>5</x:v>
      </x:c>
      <x:c r="D21" s="12" t="str">
        <x:v>suppressed</x:v>
      </x:c>
      <x:c r="E21" s="12" t="str">
        <x:v>suppressed</x:v>
      </x:c>
      <x:c r="F21" s="12" t="str">
        <x:v>suppressed</x:v>
      </x:c>
      <x:c r="G21" s="12" t="str">
        <x:v>suppressed</x:v>
      </x:c>
      <x:c r="H21" s="12" t="str">
        <x:v>suppressed</x:v>
      </x:c>
    </x:row>
    <x:row r="22" ht="30" customHeight="1">
      <x:c r="A22" s="3" t="str">
        <x:v>MOVER 2021</x:v>
      </x:c>
      <x:c r="B22" s="3" t="str">
        <x:v>asa</x:v>
      </x:c>
      <x:c r="C22" s="9" t="n">
        <x:v>6</x:v>
      </x:c>
      <x:c r="D22" s="11" t="str">
        <x:v>&lt;0.001785</x:v>
      </x:c>
      <x:c r="E22" s="9" t="str">
        <x:v>suppressed</x:v>
      </x:c>
      <x:c r="F22" s="9" t="str">
        <x:v>suppressed</x:v>
      </x:c>
      <x:c r="G22" s="11" t="str">
        <x:v>suppressed</x:v>
      </x:c>
      <x:c r="H22" s="11" t="str">
        <x:v>suppressed</x:v>
      </x:c>
    </x:row>
    <x:row r="23" ht="30" customHeight="1">
      <x:c r="A23" s="7" t="str">
        <x:v>MOVER 2021</x:v>
      </x:c>
      <x:c r="B23" s="7" t="str">
        <x:v>asa</x:v>
      </x:c>
      <x:c r="C23" s="7" t="str">
        <x:v>&lt;missing&gt;</x:v>
      </x:c>
      <x:c r="D23" s="12" t="str">
        <x:v>&lt;0.001785</x:v>
      </x:c>
      <x:c r="E23" s="12" t="str">
        <x:v>&lt;0.002261</x:v>
      </x:c>
      <x:c r="F23" s="12" t="str">
        <x:v>suppressed</x:v>
      </x:c>
      <x:c r="G23" s="12" t="str">
        <x:v>suppressed</x:v>
      </x:c>
      <x:c r="H23" s="12" t="str">
        <x:v>suppressed</x:v>
      </x:c>
    </x:row>
    <x:row r="24" ht="36" customHeight="1">
      <x:c r="A24" s="3" t="str">
        <x:v>MOVER 2021</x:v>
      </x:c>
      <x:c r="B24" s="3" t="str">
        <x:v>surgery_category</x:v>
      </x:c>
      <x:c r="C24" s="3" t="str">
        <x:v>abdominal</x:v>
      </x:c>
      <x:c r="D24" s="11" t="str">
        <x:v>suppressed</x:v>
      </x:c>
      <x:c r="E24" s="11" t="str">
        <x:v>suppressed</x:v>
      </x:c>
      <x:c r="F24" s="11" t="str">
        <x:v>suppressed</x:v>
      </x:c>
      <x:c r="G24" s="11" t="str">
        <x:v>suppressed</x:v>
      </x:c>
      <x:c r="H24" s="11" t="str">
        <x:v>suppressed</x:v>
      </x:c>
    </x:row>
    <x:row r="25" ht="36" customHeight="1">
      <x:c r="A25" s="7" t="str">
        <x:v>MOVER 2021</x:v>
      </x:c>
      <x:c r="B25" s="7" t="str">
        <x:v>surgery_category</x:v>
      </x:c>
      <x:c r="C25" s="7" t="str">
        <x:v>breast</x:v>
      </x:c>
      <x:c r="D25" s="12" t="str">
        <x:v>suppressed</x:v>
      </x:c>
      <x:c r="E25" s="12" t="str">
        <x:v>&lt;0.002261</x:v>
      </x:c>
      <x:c r="F25" s="12" t="str">
        <x:v>suppressed</x:v>
      </x:c>
      <x:c r="G25" s="12" t="str">
        <x:v>suppressed</x:v>
      </x:c>
      <x:c r="H25" s="12" t="str">
        <x:v>suppressed</x:v>
      </x:c>
    </x:row>
    <x:row r="26" ht="36" customHeight="1">
      <x:c r="A26" s="3" t="str">
        <x:v>MOVER 2021</x:v>
      </x:c>
      <x:c r="B26" s="3" t="str">
        <x:v>surgery_category</x:v>
      </x:c>
      <x:c r="C26" s="3" t="str">
        <x:v>head_neck</x:v>
      </x:c>
      <x:c r="D26" s="11" t="str">
        <x:v>suppressed</x:v>
      </x:c>
      <x:c r="E26" s="11" t="str">
        <x:v>suppressed</x:v>
      </x:c>
      <x:c r="F26" s="11" t="str">
        <x:v>suppressed</x:v>
      </x:c>
      <x:c r="G26" s="11" t="str">
        <x:v>suppressed</x:v>
      </x:c>
      <x:c r="H26" s="11" t="str">
        <x:v>suppressed</x:v>
      </x:c>
    </x:row>
    <x:row r="27" ht="36" customHeight="1">
      <x:c r="A27" s="7" t="str">
        <x:v>MOVER 2021</x:v>
      </x:c>
      <x:c r="B27" s="7" t="str">
        <x:v>surgery_category</x:v>
      </x:c>
      <x:c r="C27" s="7" t="str">
        <x:v>neurologic</x:v>
      </x:c>
      <x:c r="D27" s="12" t="str">
        <x:v>suppressed</x:v>
      </x:c>
      <x:c r="E27" s="12" t="str">
        <x:v>suppressed</x:v>
      </x:c>
      <x:c r="F27" s="12" t="str">
        <x:v>suppressed</x:v>
      </x:c>
      <x:c r="G27" s="12" t="str">
        <x:v>suppressed</x:v>
      </x:c>
      <x:c r="H27" s="12" t="str">
        <x:v>suppressed</x:v>
      </x:c>
    </x:row>
    <x:row r="28" ht="36" customHeight="1">
      <x:c r="A28" s="3" t="str">
        <x:v>MOVER 2021</x:v>
      </x:c>
      <x:c r="B28" s="3" t="str">
        <x:v>surgery_category</x:v>
      </x:c>
      <x:c r="C28" s="3" t="str">
        <x:v>orthopedic</x:v>
      </x:c>
      <x:c r="D28" s="11" t="str">
        <x:v>suppressed</x:v>
      </x:c>
      <x:c r="E28" s="11" t="str">
        <x:v>suppressed</x:v>
      </x:c>
      <x:c r="F28" s="11" t="str">
        <x:v>suppressed</x:v>
      </x:c>
      <x:c r="G28" s="11" t="str">
        <x:v>suppressed</x:v>
      </x:c>
      <x:c r="H28" s="11" t="str">
        <x:v>suppressed</x:v>
      </x:c>
    </x:row>
    <x:row r="29" ht="36" customHeight="1">
      <x:c r="A29" s="7" t="str">
        <x:v>MOVER 2021</x:v>
      </x:c>
      <x:c r="B29" s="7" t="str">
        <x:v>surgery_category</x:v>
      </x:c>
      <x:c r="C29" s="7" t="str">
        <x:v>other</x:v>
      </x:c>
      <x:c r="D29" s="12" t="str">
        <x:v>suppressed</x:v>
      </x:c>
      <x:c r="E29" s="12" t="str">
        <x:v>suppressed</x:v>
      </x:c>
      <x:c r="F29" s="12" t="str">
        <x:v>suppressed</x:v>
      </x:c>
      <x:c r="G29" s="12" t="str">
        <x:v>suppressed</x:v>
      </x:c>
      <x:c r="H29" s="12" t="str">
        <x:v>suppressed</x:v>
      </x:c>
    </x:row>
    <x:row r="30" ht="36" customHeight="1">
      <x:c r="A30" s="3" t="str">
        <x:v>MOVER 2021</x:v>
      </x:c>
      <x:c r="B30" s="3" t="str">
        <x:v>surgery_category</x:v>
      </x:c>
      <x:c r="C30" s="3" t="str">
        <x:v>plastic</x:v>
      </x:c>
      <x:c r="D30" s="11" t="str">
        <x:v>suppressed</x:v>
      </x:c>
      <x:c r="E30" s="11" t="str">
        <x:v>suppressed</x:v>
      </x:c>
      <x:c r="F30" s="11" t="str">
        <x:v>suppressed</x:v>
      </x:c>
      <x:c r="G30" s="11" t="str">
        <x:v>suppressed</x:v>
      </x:c>
      <x:c r="H30" s="11" t="str">
        <x:v>suppressed</x:v>
      </x:c>
    </x:row>
    <x:row r="31" ht="36" customHeight="1">
      <x:c r="A31" s="7" t="str">
        <x:v>MOVER 2021</x:v>
      </x:c>
      <x:c r="B31" s="7" t="str">
        <x:v>surgery_category</x:v>
      </x:c>
      <x:c r="C31" s="7" t="str">
        <x:v>thoracic</x:v>
      </x:c>
      <x:c r="D31" s="12" t="str">
        <x:v>suppressed</x:v>
      </x:c>
      <x:c r="E31" s="12" t="str">
        <x:v>suppressed</x:v>
      </x:c>
      <x:c r="F31" s="12" t="str">
        <x:v>suppressed</x:v>
      </x:c>
      <x:c r="G31" s="12" t="str">
        <x:v>suppressed</x:v>
      </x:c>
      <x:c r="H31" s="12" t="str">
        <x:v>suppressed</x:v>
      </x:c>
    </x:row>
    <x:row r="32" ht="36" customHeight="1">
      <x:c r="A32" s="3" t="str">
        <x:v>MOVER 2021</x:v>
      </x:c>
      <x:c r="B32" s="3" t="str">
        <x:v>surgery_category</x:v>
      </x:c>
      <x:c r="C32" s="3" t="str">
        <x:v>urologic</x:v>
      </x:c>
      <x:c r="D32" s="11" t="str">
        <x:v>suppressed</x:v>
      </x:c>
      <x:c r="E32" s="11" t="str">
        <x:v>suppressed</x:v>
      </x:c>
      <x:c r="F32" s="11" t="str">
        <x:v>suppressed</x:v>
      </x:c>
      <x:c r="G32" s="11" t="str">
        <x:v>suppressed</x:v>
      </x:c>
      <x:c r="H32" s="11" t="str">
        <x:v>suppressed</x:v>
      </x:c>
    </x:row>
    <x:row r="33" ht="36" customHeight="1">
      <x:c r="A33" s="7" t="str">
        <x:v>MOVER 2021</x:v>
      </x:c>
      <x:c r="B33" s="7" t="str">
        <x:v>surgery_category</x:v>
      </x:c>
      <x:c r="C33" s="7" t="str">
        <x:v>vascular</x:v>
      </x:c>
      <x:c r="D33" s="12" t="str">
        <x:v>suppressed</x:v>
      </x:c>
      <x:c r="E33" s="12" t="str">
        <x:v>suppressed</x:v>
      </x:c>
      <x:c r="F33" s="12" t="str">
        <x:v>suppressed</x:v>
      </x:c>
      <x:c r="G33" s="12" t="str">
        <x:v>suppressed</x:v>
      </x:c>
      <x:c r="H33" s="12" t="str">
        <x:v>suppressed</x:v>
      </x:c>
    </x:row>
    <x:row r="34" ht="36" customHeight="1">
      <x:c r="A34" s="3" t="str">
        <x:v>MOVER 2022</x:v>
      </x:c>
      <x:c r="B34" s="3" t="str">
        <x:v>age</x:v>
      </x:c>
      <x:c r="C34" s="3" t="str">
        <x:v>continuous_or_binary</x:v>
      </x:c>
      <x:c r="D34" s="11" t="n">
        <x:v>51.6223</x:v>
      </x:c>
      <x:c r="E34" s="11" t="n">
        <x:v>54.1264</x:v>
      </x:c>
      <x:c r="F34" s="11" t="n">
        <x:v>51.8025</x:v>
      </x:c>
      <x:c r="G34" s="11" t="n">
        <x:v>0.1283</x:v>
      </x:c>
      <x:c r="H34" s="11" t="n">
        <x:v>0.0092</x:v>
      </x:c>
    </x:row>
    <x:row r="35" ht="36" customHeight="1">
      <x:c r="A35" s="7" t="str">
        <x:v>MOVER 2022</x:v>
      </x:c>
      <x:c r="B35" s="7" t="str">
        <x:v>sex_male</x:v>
      </x:c>
      <x:c r="C35" s="7" t="str">
        <x:v>continuous_or_binary</x:v>
      </x:c>
      <x:c r="D35" s="12" t="n">
        <x:v>0.5798</x:v>
      </x:c>
      <x:c r="E35" s="12" t="n">
        <x:v>0.5976</x:v>
      </x:c>
      <x:c r="F35" s="12" t="n">
        <x:v>0.5835</x:v>
      </x:c>
      <x:c r="G35" s="12" t="n">
        <x:v>0.0361</x:v>
      </x:c>
      <x:c r="H35" s="12" t="n">
        <x:v>0.0074</x:v>
      </x:c>
    </x:row>
    <x:row r="36" ht="36" customHeight="1">
      <x:c r="A36" s="3" t="str">
        <x:v>MOVER 2022</x:v>
      </x:c>
      <x:c r="B36" s="3" t="str">
        <x:v>duration_h</x:v>
      </x:c>
      <x:c r="C36" s="3" t="str">
        <x:v>continuous_or_binary</x:v>
      </x:c>
      <x:c r="D36" s="11" t="n">
        <x:v>3.2573</x:v>
      </x:c>
      <x:c r="E36" s="11" t="n">
        <x:v>3.4703</x:v>
      </x:c>
      <x:c r="F36" s="11" t="n">
        <x:v>3.2769</x:v>
      </x:c>
      <x:c r="G36" s="11" t="n">
        <x:v>0.1082</x:v>
      </x:c>
      <x:c r="H36" s="11" t="n">
        <x:v>0.01</x:v>
      </x:c>
    </x:row>
    <x:row r="37" ht="36" customHeight="1">
      <x:c r="A37" s="7" t="str">
        <x:v>MOVER 2022</x:v>
      </x:c>
      <x:c r="B37" s="7" t="str">
        <x:v>baseline_cr</x:v>
      </x:c>
      <x:c r="C37" s="7" t="str">
        <x:v>continuous_or_binary</x:v>
      </x:c>
      <x:c r="D37" s="12" t="n">
        <x:v>0.9063</x:v>
      </x:c>
      <x:c r="E37" s="12" t="n">
        <x:v>0.9234</x:v>
      </x:c>
      <x:c r="F37" s="12" t="n">
        <x:v>0.9082</x:v>
      </x:c>
      <x:c r="G37" s="12" t="n">
        <x:v>0.0366</x:v>
      </x:c>
      <x:c r="H37" s="12" t="n">
        <x:v>0.0039</x:v>
      </x:c>
    </x:row>
    <x:row r="38" ht="30" customHeight="1">
      <x:c r="A38" s="3" t="str">
        <x:v>MOVER 2022</x:v>
      </x:c>
      <x:c r="B38" s="3" t="str">
        <x:v>asa</x:v>
      </x:c>
      <x:c r="C38" s="9" t="n">
        <x:v>1</x:v>
      </x:c>
      <x:c r="D38" s="11" t="str">
        <x:v>suppressed</x:v>
      </x:c>
      <x:c r="E38" s="11" t="str">
        <x:v>suppressed</x:v>
      </x:c>
      <x:c r="F38" s="11" t="str">
        <x:v>suppressed</x:v>
      </x:c>
      <x:c r="G38" s="11" t="str">
        <x:v>suppressed</x:v>
      </x:c>
      <x:c r="H38" s="11" t="str">
        <x:v>suppressed</x:v>
      </x:c>
    </x:row>
    <x:row r="39" ht="30" customHeight="1">
      <x:c r="A39" s="7" t="str">
        <x:v>MOVER 2022</x:v>
      </x:c>
      <x:c r="B39" s="7" t="str">
        <x:v>asa</x:v>
      </x:c>
      <x:c r="C39" s="10" t="n">
        <x:v>2</x:v>
      </x:c>
      <x:c r="D39" s="12" t="str">
        <x:v>suppressed</x:v>
      </x:c>
      <x:c r="E39" s="12" t="str">
        <x:v>suppressed</x:v>
      </x:c>
      <x:c r="F39" s="12" t="str">
        <x:v>suppressed</x:v>
      </x:c>
      <x:c r="G39" s="12" t="str">
        <x:v>suppressed</x:v>
      </x:c>
      <x:c r="H39" s="12" t="str">
        <x:v>suppressed</x:v>
      </x:c>
    </x:row>
    <x:row r="40" ht="30" customHeight="1">
      <x:c r="A40" s="3" t="str">
        <x:v>MOVER 2022</x:v>
      </x:c>
      <x:c r="B40" s="3" t="str">
        <x:v>asa</x:v>
      </x:c>
      <x:c r="C40" s="9" t="n">
        <x:v>3</x:v>
      </x:c>
      <x:c r="D40" s="11" t="str">
        <x:v>suppressed</x:v>
      </x:c>
      <x:c r="E40" s="11" t="str">
        <x:v>suppressed</x:v>
      </x:c>
      <x:c r="F40" s="11" t="str">
        <x:v>suppressed</x:v>
      </x:c>
      <x:c r="G40" s="11" t="str">
        <x:v>suppressed</x:v>
      </x:c>
      <x:c r="H40" s="11" t="str">
        <x:v>suppressed</x:v>
      </x:c>
    </x:row>
    <x:row r="41" ht="30" customHeight="1">
      <x:c r="A41" s="7" t="str">
        <x:v>MOVER 2022</x:v>
      </x:c>
      <x:c r="B41" s="7" t="str">
        <x:v>asa</x:v>
      </x:c>
      <x:c r="C41" s="10" t="n">
        <x:v>4</x:v>
      </x:c>
      <x:c r="D41" s="12" t="str">
        <x:v>suppressed</x:v>
      </x:c>
      <x:c r="E41" s="12" t="str">
        <x:v>suppressed</x:v>
      </x:c>
      <x:c r="F41" s="12" t="str">
        <x:v>suppressed</x:v>
      </x:c>
      <x:c r="G41" s="12" t="str">
        <x:v>suppressed</x:v>
      </x:c>
      <x:c r="H41" s="12" t="str">
        <x:v>suppressed</x:v>
      </x:c>
    </x:row>
    <x:row r="42" ht="30" customHeight="1">
      <x:c r="A42" s="3" t="str">
        <x:v>MOVER 2022</x:v>
      </x:c>
      <x:c r="B42" s="3" t="str">
        <x:v>asa</x:v>
      </x:c>
      <x:c r="C42" s="9" t="n">
        <x:v>5</x:v>
      </x:c>
      <x:c r="D42" s="11" t="str">
        <x:v>suppressed</x:v>
      </x:c>
      <x:c r="E42" s="11" t="str">
        <x:v>suppressed</x:v>
      </x:c>
      <x:c r="F42" s="11" t="str">
        <x:v>suppressed</x:v>
      </x:c>
      <x:c r="G42" s="11" t="str">
        <x:v>suppressed</x:v>
      </x:c>
      <x:c r="H42" s="11" t="str">
        <x:v>suppressed</x:v>
      </x:c>
    </x:row>
    <x:row r="43" ht="30" customHeight="1">
      <x:c r="A43" s="7" t="str">
        <x:v>MOVER 2022</x:v>
      </x:c>
      <x:c r="B43" s="7" t="str">
        <x:v>asa</x:v>
      </x:c>
      <x:c r="C43" s="10" t="n">
        <x:v>6</x:v>
      </x:c>
      <x:c r="D43" s="12" t="str">
        <x:v>&lt;0.001933</x:v>
      </x:c>
      <x:c r="E43" s="10" t="str">
        <x:v>suppressed</x:v>
      </x:c>
      <x:c r="F43" s="10" t="str">
        <x:v>suppressed</x:v>
      </x:c>
      <x:c r="G43" s="12" t="str">
        <x:v>suppressed</x:v>
      </x:c>
      <x:c r="H43" s="12" t="str">
        <x:v>suppressed</x:v>
      </x:c>
    </x:row>
    <x:row r="44" ht="36" customHeight="1">
      <x:c r="A44" s="3" t="str">
        <x:v>MOVER 2022</x:v>
      </x:c>
      <x:c r="B44" s="3" t="str">
        <x:v>surgery_category</x:v>
      </x:c>
      <x:c r="C44" s="3" t="str">
        <x:v>abdominal</x:v>
      </x:c>
      <x:c r="D44" s="11" t="str">
        <x:v>suppressed</x:v>
      </x:c>
      <x:c r="E44" s="11" t="str">
        <x:v>suppressed</x:v>
      </x:c>
      <x:c r="F44" s="11" t="str">
        <x:v>suppressed</x:v>
      </x:c>
      <x:c r="G44" s="11" t="str">
        <x:v>suppressed</x:v>
      </x:c>
      <x:c r="H44" s="11" t="str">
        <x:v>suppressed</x:v>
      </x:c>
    </x:row>
    <x:row r="45" ht="36" customHeight="1">
      <x:c r="A45" s="7" t="str">
        <x:v>MOVER 2022</x:v>
      </x:c>
      <x:c r="B45" s="7" t="str">
        <x:v>surgery_category</x:v>
      </x:c>
      <x:c r="C45" s="7" t="str">
        <x:v>breast</x:v>
      </x:c>
      <x:c r="D45" s="12" t="str">
        <x:v>&lt;0.001933</x:v>
      </x:c>
      <x:c r="E45" s="12" t="str">
        <x:v>&lt;0.002460</x:v>
      </x:c>
      <x:c r="F45" s="12" t="str">
        <x:v>suppressed</x:v>
      </x:c>
      <x:c r="G45" s="12" t="str">
        <x:v>suppressed</x:v>
      </x:c>
      <x:c r="H45" s="12" t="str">
        <x:v>suppressed</x:v>
      </x:c>
    </x:row>
    <x:row r="46" ht="36" customHeight="1">
      <x:c r="A46" s="3" t="str">
        <x:v>MOVER 2022</x:v>
      </x:c>
      <x:c r="B46" s="3" t="str">
        <x:v>surgery_category</x:v>
      </x:c>
      <x:c r="C46" s="3" t="str">
        <x:v>head_neck</x:v>
      </x:c>
      <x:c r="D46" s="11" t="str">
        <x:v>suppressed</x:v>
      </x:c>
      <x:c r="E46" s="11" t="str">
        <x:v>suppressed</x:v>
      </x:c>
      <x:c r="F46" s="11" t="str">
        <x:v>suppressed</x:v>
      </x:c>
      <x:c r="G46" s="11" t="str">
        <x:v>suppressed</x:v>
      </x:c>
      <x:c r="H46" s="11" t="str">
        <x:v>suppressed</x:v>
      </x:c>
    </x:row>
    <x:row r="47" ht="36" customHeight="1">
      <x:c r="A47" s="7" t="str">
        <x:v>MOVER 2022</x:v>
      </x:c>
      <x:c r="B47" s="7" t="str">
        <x:v>surgery_category</x:v>
      </x:c>
      <x:c r="C47" s="7" t="str">
        <x:v>neurologic</x:v>
      </x:c>
      <x:c r="D47" s="12" t="str">
        <x:v>suppressed</x:v>
      </x:c>
      <x:c r="E47" s="12" t="str">
        <x:v>suppressed</x:v>
      </x:c>
      <x:c r="F47" s="12" t="str">
        <x:v>suppressed</x:v>
      </x:c>
      <x:c r="G47" s="12" t="str">
        <x:v>suppressed</x:v>
      </x:c>
      <x:c r="H47" s="12" t="str">
        <x:v>suppressed</x:v>
      </x:c>
    </x:row>
    <x:row r="48" ht="36" customHeight="1">
      <x:c r="A48" s="3" t="str">
        <x:v>MOVER 2022</x:v>
      </x:c>
      <x:c r="B48" s="3" t="str">
        <x:v>surgery_category</x:v>
      </x:c>
      <x:c r="C48" s="3" t="str">
        <x:v>orthopedic</x:v>
      </x:c>
      <x:c r="D48" s="11" t="str">
        <x:v>suppressed</x:v>
      </x:c>
      <x:c r="E48" s="11" t="str">
        <x:v>suppressed</x:v>
      </x:c>
      <x:c r="F48" s="11" t="str">
        <x:v>suppressed</x:v>
      </x:c>
      <x:c r="G48" s="11" t="str">
        <x:v>suppressed</x:v>
      </x:c>
      <x:c r="H48" s="11" t="str">
        <x:v>suppressed</x:v>
      </x:c>
    </x:row>
    <x:row r="49" ht="36" customHeight="1">
      <x:c r="A49" s="7" t="str">
        <x:v>MOVER 2022</x:v>
      </x:c>
      <x:c r="B49" s="7" t="str">
        <x:v>surgery_category</x:v>
      </x:c>
      <x:c r="C49" s="7" t="str">
        <x:v>other</x:v>
      </x:c>
      <x:c r="D49" s="12" t="str">
        <x:v>suppressed</x:v>
      </x:c>
      <x:c r="E49" s="12" t="str">
        <x:v>suppressed</x:v>
      </x:c>
      <x:c r="F49" s="12" t="str">
        <x:v>suppressed</x:v>
      </x:c>
      <x:c r="G49" s="12" t="str">
        <x:v>suppressed</x:v>
      </x:c>
      <x:c r="H49" s="12" t="str">
        <x:v>suppressed</x:v>
      </x:c>
    </x:row>
    <x:row r="50" ht="36" customHeight="1">
      <x:c r="A50" s="3" t="str">
        <x:v>MOVER 2022</x:v>
      </x:c>
      <x:c r="B50" s="3" t="str">
        <x:v>surgery_category</x:v>
      </x:c>
      <x:c r="C50" s="3" t="str">
        <x:v>plastic</x:v>
      </x:c>
      <x:c r="D50" s="11" t="str">
        <x:v>suppressed</x:v>
      </x:c>
      <x:c r="E50" s="11" t="str">
        <x:v>suppressed</x:v>
      </x:c>
      <x:c r="F50" s="11" t="str">
        <x:v>suppressed</x:v>
      </x:c>
      <x:c r="G50" s="11" t="str">
        <x:v>suppressed</x:v>
      </x:c>
      <x:c r="H50" s="11" t="str">
        <x:v>suppressed</x:v>
      </x:c>
    </x:row>
    <x:row r="51" ht="36" customHeight="1">
      <x:c r="A51" s="7" t="str">
        <x:v>MOVER 2022</x:v>
      </x:c>
      <x:c r="B51" s="7" t="str">
        <x:v>surgery_category</x:v>
      </x:c>
      <x:c r="C51" s="7" t="str">
        <x:v>thoracic</x:v>
      </x:c>
      <x:c r="D51" s="12" t="str">
        <x:v>suppressed</x:v>
      </x:c>
      <x:c r="E51" s="12" t="str">
        <x:v>suppressed</x:v>
      </x:c>
      <x:c r="F51" s="12" t="str">
        <x:v>suppressed</x:v>
      </x:c>
      <x:c r="G51" s="12" t="str">
        <x:v>suppressed</x:v>
      </x:c>
      <x:c r="H51" s="12" t="str">
        <x:v>suppressed</x:v>
      </x:c>
    </x:row>
    <x:row r="52" ht="36" customHeight="1">
      <x:c r="A52" s="3" t="str">
        <x:v>MOVER 2022</x:v>
      </x:c>
      <x:c r="B52" s="3" t="str">
        <x:v>surgery_category</x:v>
      </x:c>
      <x:c r="C52" s="3" t="str">
        <x:v>urologic</x:v>
      </x:c>
      <x:c r="D52" s="11" t="str">
        <x:v>suppressed</x:v>
      </x:c>
      <x:c r="E52" s="11" t="str">
        <x:v>suppressed</x:v>
      </x:c>
      <x:c r="F52" s="11" t="str">
        <x:v>suppressed</x:v>
      </x:c>
      <x:c r="G52" s="11" t="str">
        <x:v>suppressed</x:v>
      </x:c>
      <x:c r="H52" s="11" t="str">
        <x:v>suppressed</x:v>
      </x:c>
    </x:row>
    <x:row r="53" ht="36" customHeight="1">
      <x:c r="A53" s="7" t="str">
        <x:v>MOVER 2022</x:v>
      </x:c>
      <x:c r="B53" s="7" t="str">
        <x:v>surgery_category</x:v>
      </x:c>
      <x:c r="C53" s="7" t="str">
        <x:v>vascular</x:v>
      </x:c>
      <x:c r="D53" s="12" t="str">
        <x:v>suppressed</x:v>
      </x:c>
      <x:c r="E53" s="12" t="str">
        <x:v>suppressed</x:v>
      </x:c>
      <x:c r="F53" s="12" t="str">
        <x:v>suppressed</x:v>
      </x:c>
      <x:c r="G53" s="12" t="str">
        <x:v>suppressed</x:v>
      </x:c>
      <x:c r="H53" s="12" t="str">
        <x:v>suppressed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</x:cols>
  <x:sheetData>
    <x:row r="1" ht="64" customHeight="1">
      <x:c r="A1" s="6" t="str">
        <x:v>Strategy</x:v>
      </x:c>
      <x:c r="B1" s="6" t="str">
        <x:v>Metric</x:v>
      </x:c>
      <x:c r="C1" s="6" t="str">
        <x:v>Estimate</x:v>
      </x:c>
      <x:c r="D1" s="6" t="str">
        <x:v>95% lower</x:v>
      </x:c>
      <x:c r="E1" s="6" t="str">
        <x:v>95% upper</x:v>
      </x:c>
      <x:c r="F1" s="6" t="str">
        <x:v>Status</x:v>
      </x:c>
    </x:row>
    <x:row r="2" ht="30" customHeight="1">
      <x:c r="A2" s="3" t="str">
        <x:v>unupdated</x:v>
      </x:c>
      <x:c r="B2" s="3" t="str">
        <x:v>update_alpha</x:v>
      </x:c>
      <x:c r="C2" s="9" t="n">
        <x:v>0</x:v>
      </x:c>
      <x:c r="D2" s="3" t="str">
        <x:v>NA</x:v>
      </x:c>
      <x:c r="E2" s="3" t="str">
        <x:v>NA</x:v>
      </x:c>
      <x:c r="F2" s="3" t="str">
        <x:v>fixed</x:v>
      </x:c>
    </x:row>
    <x:row r="3" ht="30" customHeight="1">
      <x:c r="A3" s="7" t="str">
        <x:v>unupdated</x:v>
      </x:c>
      <x:c r="B3" s="7" t="str">
        <x:v>update_beta</x:v>
      </x:c>
      <x:c r="C3" s="10" t="n">
        <x:v>1</x:v>
      </x:c>
      <x:c r="D3" s="7" t="str">
        <x:v>NA</x:v>
      </x:c>
      <x:c r="E3" s="7" t="str">
        <x:v>NA</x:v>
      </x:c>
      <x:c r="F3" s="7" t="str">
        <x:v>fixed</x:v>
      </x:c>
    </x:row>
    <x:row r="4" ht="36" customHeight="1">
      <x:c r="A4" s="3" t="str">
        <x:v>unupdated</x:v>
      </x:c>
      <x:c r="B4" s="3" t="str">
        <x:v>oe_ratio</x:v>
      </x:c>
      <x:c r="C4" s="11" t="n">
        <x:v>1.4868</x:v>
      </x:c>
      <x:c r="D4" s="11" t="n">
        <x:v>1.2958</x:v>
      </x:c>
      <x:c r="E4" s="11" t="n">
        <x:v>1.6692</x:v>
      </x:c>
      <x:c r="F4" s="3" t="str">
        <x:v>1000 replicates</x:v>
      </x:c>
    </x:row>
    <x:row r="5" ht="36" customHeight="1">
      <x:c r="A5" s="7" t="str">
        <x:v>unupdated</x:v>
      </x:c>
      <x:c r="B5" s="7" t="str">
        <x:v>calibration_slope</x:v>
      </x:c>
      <x:c r="C5" s="12" t="n">
        <x:v>0.788</x:v>
      </x:c>
      <x:c r="D5" s="12" t="n">
        <x:v>0.6277</x:v>
      </x:c>
      <x:c r="E5" s="12" t="n">
        <x:v>0.9774</x:v>
      </x:c>
      <x:c r="F5" s="7" t="str">
        <x:v>1000 replicates</x:v>
      </x:c>
    </x:row>
    <x:row r="6" ht="36" customHeight="1">
      <x:c r="A6" s="3" t="str">
        <x:v>unupdated</x:v>
      </x:c>
      <x:c r="B6" s="3" t="str">
        <x:v>auroc</x:v>
      </x:c>
      <x:c r="C6" s="11" t="n">
        <x:v>0.6737</x:v>
      </x:c>
      <x:c r="D6" s="11" t="n">
        <x:v>0.6326</x:v>
      </x:c>
      <x:c r="E6" s="11" t="n">
        <x:v>0.7168</x:v>
      </x:c>
      <x:c r="F6" s="3" t="str">
        <x:v>1000 replicates</x:v>
      </x:c>
    </x:row>
    <x:row r="7" ht="36" customHeight="1">
      <x:c r="A7" s="7" t="str">
        <x:v>unupdated</x:v>
      </x:c>
      <x:c r="B7" s="7" t="str">
        <x:v>brier</x:v>
      </x:c>
      <x:c r="C7" s="12" t="n">
        <x:v>0.0951</x:v>
      </x:c>
      <x:c r="D7" s="12" t="n">
        <x:v>0.085</x:v>
      </x:c>
      <x:c r="E7" s="12" t="n">
        <x:v>0.1052</x:v>
      </x:c>
      <x:c r="F7" s="7" t="str">
        <x:v>1000 replicates</x:v>
      </x:c>
    </x:row>
    <x:row r="8" ht="36" customHeight="1">
      <x:c r="A8" s="3" t="str">
        <x:v>complete_case</x:v>
      </x:c>
      <x:c r="B8" s="3" t="str">
        <x:v>update_alpha</x:v>
      </x:c>
      <x:c r="C8" s="11" t="n">
        <x:v>0.1527</x:v>
      </x:c>
      <x:c r="D8" s="11" t="n">
        <x:v>-0.2859</x:v>
      </x:c>
      <x:c r="E8" s="11" t="n">
        <x:v>0.5801</x:v>
      </x:c>
      <x:c r="F8" s="3" t="str">
        <x:v>1000 replicates</x:v>
      </x:c>
    </x:row>
    <x:row r="9" ht="36" customHeight="1">
      <x:c r="A9" s="7" t="str">
        <x:v>complete_case</x:v>
      </x:c>
      <x:c r="B9" s="7" t="str">
        <x:v>update_beta</x:v>
      </x:c>
      <x:c r="C9" s="12" t="n">
        <x:v>0.8457</x:v>
      </x:c>
      <x:c r="D9" s="12" t="n">
        <x:v>0.669</x:v>
      </x:c>
      <x:c r="E9" s="12" t="n">
        <x:v>1.0267</x:v>
      </x:c>
      <x:c r="F9" s="7" t="str">
        <x:v>1000 replicates</x:v>
      </x:c>
    </x:row>
    <x:row r="10" ht="36" customHeight="1">
      <x:c r="A10" s="3" t="str">
        <x:v>complete_case</x:v>
      </x:c>
      <x:c r="B10" s="3" t="str">
        <x:v>oe_ratio</x:v>
      </x:c>
      <x:c r="C10" s="11" t="n">
        <x:v>0.9669</x:v>
      </x:c>
      <x:c r="D10" s="11" t="n">
        <x:v>0.8257</x:v>
      </x:c>
      <x:c r="E10" s="11" t="n">
        <x:v>1.1219</x:v>
      </x:c>
      <x:c r="F10" s="3" t="str">
        <x:v>1000 replicates</x:v>
      </x:c>
    </x:row>
    <x:row r="11" ht="36" customHeight="1">
      <x:c r="A11" s="7" t="str">
        <x:v>complete_case</x:v>
      </x:c>
      <x:c r="B11" s="7" t="str">
        <x:v>calibration_slope</x:v>
      </x:c>
      <x:c r="C11" s="12" t="n">
        <x:v>0.9318</x:v>
      </x:c>
      <x:c r="D11" s="12" t="n">
        <x:v>0.7219</x:v>
      </x:c>
      <x:c r="E11" s="12" t="n">
        <x:v>1.2371</x:v>
      </x:c>
      <x:c r="F11" s="7" t="str">
        <x:v>1000 replicates</x:v>
      </x:c>
    </x:row>
    <x:row r="12" ht="36" customHeight="1">
      <x:c r="A12" s="3" t="str">
        <x:v>complete_case</x:v>
      </x:c>
      <x:c r="B12" s="3" t="str">
        <x:v>auroc</x:v>
      </x:c>
      <x:c r="C12" s="11" t="n">
        <x:v>0.6737</x:v>
      </x:c>
      <x:c r="D12" s="11" t="n">
        <x:v>0.6326</x:v>
      </x:c>
      <x:c r="E12" s="11" t="n">
        <x:v>0.7168</x:v>
      </x:c>
      <x:c r="F12" s="3" t="str">
        <x:v>1000 replicates</x:v>
      </x:c>
    </x:row>
    <x:row r="13" ht="36" customHeight="1">
      <x:c r="A13" s="7" t="str">
        <x:v>complete_case</x:v>
      </x:c>
      <x:c r="B13" s="7" t="str">
        <x:v>brier</x:v>
      </x:c>
      <x:c r="C13" s="12" t="n">
        <x:v>0.0936</x:v>
      </x:c>
      <x:c r="D13" s="12" t="n">
        <x:v>0.0844</x:v>
      </x:c>
      <x:c r="E13" s="12" t="n">
        <x:v>0.1032</x:v>
      </x:c>
      <x:c r="F13" s="7" t="str">
        <x:v>1000 replicates</x:v>
      </x:c>
    </x:row>
    <x:row r="14" ht="36" customHeight="1">
      <x:c r="A14" s="3" t="str">
        <x:v>IPW</x:v>
      </x:c>
      <x:c r="B14" s="3" t="str">
        <x:v>update_alpha</x:v>
      </x:c>
      <x:c r="C14" s="11" t="n">
        <x:v>0.2066</x:v>
      </x:c>
      <x:c r="D14" s="11" t="n">
        <x:v>-0.2394</x:v>
      </x:c>
      <x:c r="E14" s="11" t="n">
        <x:v>0.6445</x:v>
      </x:c>
      <x:c r="F14" s="3" t="str">
        <x:v>1000 replicates</x:v>
      </x:c>
    </x:row>
    <x:row r="15" ht="36" customHeight="1">
      <x:c r="A15" s="7" t="str">
        <x:v>IPW</x:v>
      </x:c>
      <x:c r="B15" s="7" t="str">
        <x:v>update_beta</x:v>
      </x:c>
      <x:c r="C15" s="12" t="n">
        <x:v>0.891</x:v>
      </x:c>
      <x:c r="D15" s="12" t="n">
        <x:v>0.7153</x:v>
      </x:c>
      <x:c r="E15" s="12" t="n">
        <x:v>1.0736</x:v>
      </x:c>
      <x:c r="F15" s="7" t="str">
        <x:v>1000 replicates</x:v>
      </x:c>
    </x:row>
    <x:row r="16" ht="36" customHeight="1">
      <x:c r="A16" s="3" t="str">
        <x:v>IPW</x:v>
      </x:c>
      <x:c r="B16" s="3" t="str">
        <x:v>oe_ratio</x:v>
      </x:c>
      <x:c r="C16" s="11" t="n">
        <x:v>1.0118</x:v>
      </x:c>
      <x:c r="D16" s="11" t="n">
        <x:v>0.8665</x:v>
      </x:c>
      <x:c r="E16" s="11" t="n">
        <x:v>1.1768</x:v>
      </x:c>
      <x:c r="F16" s="3" t="str">
        <x:v>1000 replicates</x:v>
      </x:c>
    </x:row>
    <x:row r="17" ht="36" customHeight="1">
      <x:c r="A17" s="7" t="str">
        <x:v>IPW</x:v>
      </x:c>
      <x:c r="B17" s="7" t="str">
        <x:v>calibration_slope</x:v>
      </x:c>
      <x:c r="C17" s="12" t="n">
        <x:v>0.8845</x:v>
      </x:c>
      <x:c r="D17" s="12" t="n">
        <x:v>0.681</x:v>
      </x:c>
      <x:c r="E17" s="12" t="n">
        <x:v>1.1547</x:v>
      </x:c>
      <x:c r="F17" s="7" t="str">
        <x:v>1000 replicates</x:v>
      </x:c>
    </x:row>
    <x:row r="18" ht="36" customHeight="1">
      <x:c r="A18" s="3" t="str">
        <x:v>IPW</x:v>
      </x:c>
      <x:c r="B18" s="3" t="str">
        <x:v>auroc</x:v>
      </x:c>
      <x:c r="C18" s="11" t="n">
        <x:v>0.6737</x:v>
      </x:c>
      <x:c r="D18" s="11" t="n">
        <x:v>0.6326</x:v>
      </x:c>
      <x:c r="E18" s="11" t="n">
        <x:v>0.7168</x:v>
      </x:c>
      <x:c r="F18" s="3" t="str">
        <x:v>1000 replicates</x:v>
      </x:c>
    </x:row>
    <x:row r="19" ht="36" customHeight="1">
      <x:c r="A19" s="7" t="str">
        <x:v>IPW</x:v>
      </x:c>
      <x:c r="B19" s="7" t="str">
        <x:v>brier</x:v>
      </x:c>
      <x:c r="C19" s="12" t="n">
        <x:v>0.0937</x:v>
      </x:c>
      <x:c r="D19" s="12" t="n">
        <x:v>0.0845</x:v>
      </x:c>
      <x:c r="E19" s="12" t="n">
        <x:v>0.1034</x:v>
      </x:c>
      <x:c r="F19" s="7" t="str">
        <x:v>1000 replicates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64" customHeight="1">
      <x:c r="A1" s="6" t="str">
        <x:v>Contrast</x:v>
      </x:c>
      <x:c r="B1" s="6" t="str">
        <x:v>Metric</x:v>
      </x:c>
      <x:c r="C1" s="6" t="str">
        <x:v>Difference</x:v>
      </x:c>
      <x:c r="D1" s="6" t="str">
        <x:v>95% lower</x:v>
      </x:c>
      <x:c r="E1" s="6" t="str">
        <x:v>95% upper</x:v>
      </x:c>
    </x:row>
    <x:row r="2" ht="36" customHeight="1">
      <x:c r="A2" s="3" t="str">
        <x:v>IPW minus complete-case recalibration</x:v>
      </x:c>
      <x:c r="B2" s="3" t="str">
        <x:v>oe_ratio</x:v>
      </x:c>
      <x:c r="C2" s="15" t="n">
        <x:v>0.044912</x:v>
      </x:c>
      <x:c r="D2" s="15" t="n">
        <x:v>0.019914</x:v>
      </x:c>
      <x:c r="E2" s="15" t="n">
        <x:v>0.070879</x:v>
      </x:c>
    </x:row>
    <x:row r="3" ht="36" customHeight="1">
      <x:c r="A3" s="7" t="str">
        <x:v>IPW minus complete-case recalibration</x:v>
      </x:c>
      <x:c r="B3" s="7" t="str">
        <x:v>calibration_slope</x:v>
      </x:c>
      <x:c r="C3" s="16" t="n">
        <x:v>-0.047372</x:v>
      </x:c>
      <x:c r="D3" s="16" t="n">
        <x:v>-0.097662</x:v>
      </x:c>
      <x:c r="E3" s="16" t="n">
        <x:v>-0.013768</x:v>
      </x:c>
    </x:row>
    <x:row r="4" ht="36" customHeight="1">
      <x:c r="A4" s="3" t="str">
        <x:v>IPW minus complete-case recalibration</x:v>
      </x:c>
      <x:c r="B4" s="3" t="str">
        <x:v>auroc</x:v>
      </x:c>
      <x:c r="C4" s="9" t="n">
        <x:v>0</x:v>
      </x:c>
      <x:c r="D4" s="9" t="n">
        <x:v>0</x:v>
      </x:c>
      <x:c r="E4" s="9" t="n">
        <x:v>0</x:v>
      </x:c>
    </x:row>
    <x:row r="5" ht="36" customHeight="1">
      <x:c r="A5" s="7" t="str">
        <x:v>IPW minus complete-case recalibration</x:v>
      </x:c>
      <x:c r="B5" s="7" t="str">
        <x:v>brier</x:v>
      </x:c>
      <x:c r="C5" s="16" t="n">
        <x:v>0.000061</x:v>
      </x:c>
      <x:c r="D5" s="16" t="n">
        <x:v>-0.000198</x:v>
      </x:c>
      <x:c r="E5" s="16" t="n">
        <x:v>0.000305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9" hidden="0" customWidth="1"/>
    <x:col min="3" max="3" width="28" hidden="0" customWidth="1"/>
    <x:col min="4" max="4" width="25" hidden="0" customWidth="1"/>
    <x:col min="5" max="5" width="24" hidden="0" customWidth="1"/>
    <x:col min="6" max="6" width="48" hidden="0" customWidth="1"/>
  </x:cols>
  <x:sheetData>
    <x:row r="1" ht="64" customHeight="1">
      <x:c r="A1" s="6" t="str">
        <x:v>Cohort</x:v>
      </x:c>
      <x:c r="B1" s="6" t="str">
        <x:v>Previous eligible / observed</x:v>
      </x:c>
      <x:c r="C1" s="6" t="str">
        <x:v>Revised eligible / observed</x:v>
      </x:c>
      <x:c r="D1" s="6" t="str">
        <x:v>Previous observed events</x:v>
      </x:c>
      <x:c r="E1" s="6" t="str">
        <x:v>Revised observed events</x:v>
      </x:c>
      <x:c r="F1" s="6" t="str">
        <x:v>Reason</x:v>
      </x:c>
    </x:row>
    <x:row r="2" ht="36" customHeight="1">
      <x:c r="A2" s="3" t="str">
        <x:v>INSPIRE</x:v>
      </x:c>
      <x:c r="B2" s="3" t="str">
        <x:v>33,396 / 24,874</x:v>
      </x:c>
      <x:c r="C2" s="3" t="str">
        <x:v>33,394 / 24,872</x:v>
      </x:c>
      <x:c r="D2" s="9" t="n">
        <x:v>1671</x:v>
      </x:c>
      <x:c r="E2" s="9" t="n">
        <x:v>1680</x:v>
      </x:c>
      <x:c r="F2" s="3" t="str">
        <x:v>2 observed non-events excluded; 9 threshold labels corrected</x:v>
      </x:c>
    </x:row>
    <x:row r="3" ht="30" customHeight="1">
      <x:c r="A3" s="7" t="str">
        <x:v>MOVER 2021</x:v>
      </x:c>
      <x:c r="B3" s="7" t="str">
        <x:v>2,802 / 2,212</x:v>
      </x:c>
      <x:c r="C3" s="7" t="str">
        <x:v>2,802 / 2,212</x:v>
      </x:c>
      <x:c r="D3" s="10" t="n">
        <x:v>245</x:v>
      </x:c>
      <x:c r="E3" s="10" t="n">
        <x:v>274</x:v>
      </x:c>
      <x:c r="F3" s="7" t="str">
        <x:v>29 threshold labels corrected</x:v>
      </x:c>
    </x:row>
    <x:row r="4" ht="30" customHeight="1">
      <x:c r="A4" s="3" t="str">
        <x:v>MOVER 2022</x:v>
      </x:c>
      <x:c r="B4" s="3" t="str">
        <x:v>2,587 / 2,033</x:v>
      </x:c>
      <x:c r="C4" s="3" t="str">
        <x:v>2,587 / 2,033</x:v>
      </x:c>
      <x:c r="D4" s="9" t="n">
        <x:v>224</x:v>
      </x:c>
      <x:c r="E4" s="9" t="n">
        <x:v>259</x:v>
      </x:c>
      <x:c r="F4" s="3" t="str">
        <x:v>35 threshold labels corrected</x:v>
      </x:c>
    </x:row>
    <x:row r="5" ht="36" customHeight="1">
      <x:c r="A5" s="7" t="str">
        <x:v>VitalDB supportive</x:v>
      </x:c>
      <x:c r="B5" s="7" t="str">
        <x:v>NA / 4,095</x:v>
      </x:c>
      <x:c r="C5" s="7" t="str">
        <x:v>NA / 4,095</x:v>
      </x:c>
      <x:c r="D5" s="10" t="n">
        <x:v>269</x:v>
      </x:c>
      <x:c r="E5" s="10" t="n">
        <x:v>271</x:v>
      </x:c>
      <x:c r="F5" s="7" t="str">
        <x:v>2 threshold labels corrected; supportive definition retained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6" hidden="0" customWidth="1"/>
    <x:col min="3" max="3" width="13" hidden="0" customWidth="1"/>
  </x:cols>
  <x:sheetData>
    <x:row r="1" ht="64" customHeight="1">
      <x:c r="A1" s="6" t="str">
        <x:v>dataset</x:v>
      </x:c>
      <x:c r="B1" s="6" t="str">
        <x:v>stage</x:v>
      </x:c>
      <x:c r="C1" s="6" t="str">
        <x:v>n</x:v>
      </x:c>
    </x:row>
    <x:row r="2" ht="30" customHeight="1">
      <x:c r="A2" s="3" t="str">
        <x:v>INSPIRE</x:v>
      </x:c>
      <x:c r="B2" s="3" t="str">
        <x:v>raw_operations</x:v>
      </x:c>
      <x:c r="C2" s="9" t="n">
        <x:v>130960</x:v>
      </x:c>
    </x:row>
    <x:row r="3" ht="30" customHeight="1">
      <x:c r="A3" s="7" t="str">
        <x:v>INSPIRE</x:v>
      </x:c>
      <x:c r="B3" s="7" t="str">
        <x:v>adult_general_anesthesia</x:v>
      </x:c>
      <x:c r="C3" s="10" t="n">
        <x:v>102790</x:v>
      </x:c>
    </x:row>
    <x:row r="4" ht="30" customHeight="1">
      <x:c r="A4" s="3" t="str">
        <x:v>INSPIRE</x:v>
      </x:c>
      <x:c r="B4" s="3" t="str">
        <x:v>valid_time_duration</x:v>
      </x:c>
      <x:c r="C4" s="9" t="n">
        <x:v>101748</x:v>
      </x:c>
    </x:row>
    <x:row r="5" ht="30" customHeight="1">
      <x:c r="A5" s="7" t="str">
        <x:v>INSPIRE</x:v>
      </x:c>
      <x:c r="B5" s="7" t="str">
        <x:v>surgery_scope_eligible_corrected</x:v>
      </x:c>
      <x:c r="C5" s="10" t="n">
        <x:v>82855</x:v>
      </x:c>
    </x:row>
    <x:row r="6" ht="36" customHeight="1">
      <x:c r="A6" s="3" t="str">
        <x:v>INSPIRE</x:v>
      </x:c>
      <x:c r="B6" s="3" t="str">
        <x:v>first_clinically_eligible_corrected</x:v>
      </x:c>
      <x:c r="C6" s="9" t="n">
        <x:v>67667</x:v>
      </x:c>
    </x:row>
    <x:row r="7" ht="30" customHeight="1">
      <x:c r="A7" s="7" t="str">
        <x:v>INSPIRE</x:v>
      </x:c>
      <x:c r="B7" s="7" t="str">
        <x:v>first_with_baseline</x:v>
      </x:c>
      <x:c r="C7" s="10" t="n">
        <x:v>34164</x:v>
      </x:c>
    </x:row>
    <x:row r="8" ht="30" customHeight="1">
      <x:c r="A8" s="3" t="str">
        <x:v>INSPIRE</x:v>
      </x:c>
      <x:c r="B8" s="3" t="str">
        <x:v>first_baseline_under4</x:v>
      </x:c>
      <x:c r="C8" s="9" t="n">
        <x:v>33394</x:v>
      </x:c>
    </x:row>
    <x:row r="9" ht="36" customHeight="1">
      <x:c r="A9" s="7" t="str">
        <x:v>MOVER all years</x:v>
      </x:c>
      <x:c r="B9" s="7" t="str">
        <x:v>raw_operation_rows</x:v>
      </x:c>
      <x:c r="C9" s="10" t="n">
        <x:v>65728</x:v>
      </x:c>
    </x:row>
    <x:row r="10" ht="36" customHeight="1">
      <x:c r="A10" s="3" t="str">
        <x:v>MOVER all years</x:v>
      </x:c>
      <x:c r="B10" s="3" t="str">
        <x:v>after_duplicate_resolution</x:v>
      </x:c>
      <x:c r="C10" s="9" t="n">
        <x:v>64346</x:v>
      </x:c>
    </x:row>
    <x:row r="11" ht="36" customHeight="1">
      <x:c r="A11" s="7" t="str">
        <x:v>MOVER all years</x:v>
      </x:c>
      <x:c r="B11" s="7" t="str">
        <x:v>adult_general_anesthesia</x:v>
      </x:c>
      <x:c r="C11" s="10" t="n">
        <x:v>51712</x:v>
      </x:c>
    </x:row>
    <x:row r="12" ht="36" customHeight="1">
      <x:c r="A12" s="3" t="str">
        <x:v>MOVER all years</x:v>
      </x:c>
      <x:c r="B12" s="3" t="str">
        <x:v>valid_time_duration</x:v>
      </x:c>
      <x:c r="C12" s="9" t="n">
        <x:v>49170</x:v>
      </x:c>
    </x:row>
    <x:row r="13" ht="36" customHeight="1">
      <x:c r="A13" s="7" t="str">
        <x:v>MOVER all years</x:v>
      </x:c>
      <x:c r="B13" s="7" t="str">
        <x:v>surgery_scope_eligible</x:v>
      </x:c>
      <x:c r="C13" s="10" t="n">
        <x:v>47252</x:v>
      </x:c>
    </x:row>
    <x:row r="14" ht="36" customHeight="1">
      <x:c r="A14" s="3" t="str">
        <x:v>MOVER all years</x:v>
      </x:c>
      <x:c r="B14" s="3" t="str">
        <x:v>first_clinically_eligible</x:v>
      </x:c>
      <x:c r="C14" s="9" t="n">
        <x:v>33163</x:v>
      </x:c>
    </x:row>
    <x:row r="15" ht="36" customHeight="1">
      <x:c r="A15" s="7" t="str">
        <x:v>MOVER all years</x:v>
      </x:c>
      <x:c r="B15" s="7" t="str">
        <x:v>first_with_baseline</x:v>
      </x:c>
      <x:c r="C15" s="10" t="n">
        <x:v>12449</x:v>
      </x:c>
    </x:row>
    <x:row r="16" ht="36" customHeight="1">
      <x:c r="A16" s="3" t="str">
        <x:v>MOVER all years</x:v>
      </x:c>
      <x:c r="B16" s="3" t="str">
        <x:v>first_baseline_under4</x:v>
      </x:c>
      <x:c r="C16" s="9" t="n">
        <x:v>11470</x:v>
      </x:c>
    </x:row>
    <x:row r="17" ht="30" customHeight="1">
      <x:c r="A17" s="7" t="str">
        <x:v>MOVER 2021</x:v>
      </x:c>
      <x:c r="B17" s="7" t="str">
        <x:v>final_eligible</x:v>
      </x:c>
      <x:c r="C17" s="10" t="n">
        <x:v>2802</x:v>
      </x:c>
    </x:row>
    <x:row r="18" ht="30" customHeight="1">
      <x:c r="A18" s="3" t="str">
        <x:v>MOVER 2021</x:v>
      </x:c>
      <x:c r="B18" s="3" t="str">
        <x:v>outcome_observed</x:v>
      </x:c>
      <x:c r="C18" s="9" t="n">
        <x:v>2212</x:v>
      </x:c>
    </x:row>
    <x:row r="19" ht="30" customHeight="1">
      <x:c r="A19" s="7" t="str">
        <x:v>MOVER 2021</x:v>
      </x:c>
      <x:c r="B19" s="7" t="str">
        <x:v>outcome_unobserved</x:v>
      </x:c>
      <x:c r="C19" s="10" t="n">
        <x:v>590</x:v>
      </x:c>
    </x:row>
    <x:row r="20" ht="30" customHeight="1">
      <x:c r="A20" s="3" t="str">
        <x:v>MOVER 2022</x:v>
      </x:c>
      <x:c r="B20" s="3" t="str">
        <x:v>final_eligible</x:v>
      </x:c>
      <x:c r="C20" s="9" t="n">
        <x:v>2587</x:v>
      </x:c>
    </x:row>
    <x:row r="21" ht="30" customHeight="1">
      <x:c r="A21" s="7" t="str">
        <x:v>MOVER 2022</x:v>
      </x:c>
      <x:c r="B21" s="7" t="str">
        <x:v>outcome_observed</x:v>
      </x:c>
      <x:c r="C21" s="10" t="n">
        <x:v>2033</x:v>
      </x:c>
    </x:row>
    <x:row r="22" ht="30" customHeight="1">
      <x:c r="A22" s="3" t="str">
        <x:v>MOVER 2022</x:v>
      </x:c>
      <x:c r="B22" s="3" t="str">
        <x:v>outcome_unobserved</x:v>
      </x:c>
      <x:c r="C22" s="9" t="n">
        <x:v>554</x:v>
      </x:c>
    </x:row>
    <x:row r="23" ht="30" customHeight="1">
      <x:c r="A23" s="7" t="str">
        <x:v>INSPIRE</x:v>
      </x:c>
      <x:c r="B23" s="7" t="str">
        <x:v>final_outcome_observed</x:v>
      </x:c>
      <x:c r="C23" s="10" t="n">
        <x:v>24872</x:v>
      </x:c>
    </x:row>
    <x:row r="24" ht="30" customHeight="1">
      <x:c r="A24" s="3" t="str">
        <x:v>INSPIRE</x:v>
      </x:c>
      <x:c r="B24" s="3" t="str">
        <x:v>final_outcome_unobserved</x:v>
      </x:c>
      <x:c r="C24" s="9" t="n">
        <x:v>8522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13" hidden="0" customWidth="1"/>
    <x:col min="10" max="10" width="19" hidden="0" customWidth="1"/>
    <x:col min="11" max="11" width="17" hidden="0" customWidth="1"/>
    <x:col min="12" max="12" width="41" hidden="0" customWidth="1"/>
    <x:col min="13" max="13" width="38" hidden="0" customWidth="1"/>
  </x:cols>
  <x:sheetData>
    <x:row r="1" ht="64" customHeight="1">
      <x:c r="A1" s="6" t="str">
        <x:v>cohort</x:v>
      </x:c>
      <x:c r="B1" s="6" t="str">
        <x:v>observed_n</x:v>
      </x:c>
      <x:c r="C1" s="6" t="str">
        <x:v>original_AKI</x:v>
      </x:c>
      <x:c r="D1" s="6" t="str">
        <x:v>coarsened_AKI</x:v>
      </x:c>
      <x:c r="E1" s="6" t="str">
        <x:v>original_0_coarsened_0</x:v>
      </x:c>
      <x:c r="F1" s="6" t="str">
        <x:v>original_0_coarsened_1</x:v>
      </x:c>
      <x:c r="G1" s="6" t="str">
        <x:v>original_1_coarsened_0</x:v>
      </x:c>
      <x:c r="H1" s="6" t="str">
        <x:v>original_1_coarsened_1</x:v>
      </x:c>
      <x:c r="I1" s="6" t="str">
        <x:v>discordant_n</x:v>
      </x:c>
      <x:c r="J1" s="6" t="str">
        <x:v>discordant_percent</x:v>
      </x:c>
      <x:c r="K1" s="6" t="str">
        <x:v>net_event_change</x:v>
      </x:c>
      <x:c r="L1" s="6" t="str">
        <x:v>nonAKI_to_AKI_percent_of_original_nonAKI</x:v>
      </x:c>
      <x:c r="M1" s="6" t="str">
        <x:v>AKI_to_nonAKI_percent_of_original_AKI</x:v>
      </x:c>
    </x:row>
    <x:row r="2" ht="36" customHeight="1">
      <x:c r="A2" s="3" t="str">
        <x:v>MOVER 2021</x:v>
      </x:c>
      <x:c r="B2" s="9" t="n">
        <x:v>2212</x:v>
      </x:c>
      <x:c r="C2" s="9" t="n">
        <x:v>274</x:v>
      </x:c>
      <x:c r="D2" s="9" t="n">
        <x:v>382</x:v>
      </x:c>
      <x:c r="E2" s="9" t="n">
        <x:v>1799</x:v>
      </x:c>
      <x:c r="F2" s="9" t="n">
        <x:v>139</x:v>
      </x:c>
      <x:c r="G2" s="9" t="n">
        <x:v>31</x:v>
      </x:c>
      <x:c r="H2" s="9" t="n">
        <x:v>243</x:v>
      </x:c>
      <x:c r="I2" s="9" t="n">
        <x:v>170</x:v>
      </x:c>
      <x:c r="J2" s="15" t="n">
        <x:v>7.685352622061482</x:v>
      </x:c>
      <x:c r="K2" s="9" t="n">
        <x:v>108</x:v>
      </x:c>
      <x:c r="L2" s="15" t="n">
        <x:v>7.1723426212590295</x:v>
      </x:c>
      <x:c r="M2" s="15" t="n">
        <x:v>11.313868613138686</x:v>
      </x:c>
    </x:row>
    <x:row r="3" ht="36" customHeight="1">
      <x:c r="A3" s="7" t="str">
        <x:v>MOVER 2022</x:v>
      </x:c>
      <x:c r="B3" s="10" t="n">
        <x:v>2033</x:v>
      </x:c>
      <x:c r="C3" s="10" t="n">
        <x:v>259</x:v>
      </x:c>
      <x:c r="D3" s="10" t="n">
        <x:v>336</x:v>
      </x:c>
      <x:c r="E3" s="10" t="n">
        <x:v>1654</x:v>
      </x:c>
      <x:c r="F3" s="10" t="n">
        <x:v>120</x:v>
      </x:c>
      <x:c r="G3" s="10" t="n">
        <x:v>43</x:v>
      </x:c>
      <x:c r="H3" s="10" t="n">
        <x:v>216</x:v>
      </x:c>
      <x:c r="I3" s="10" t="n">
        <x:v>163</x:v>
      </x:c>
      <x:c r="J3" s="16" t="n">
        <x:v>8.017707820954255</x:v>
      </x:c>
      <x:c r="K3" s="10" t="n">
        <x:v>77</x:v>
      </x:c>
      <x:c r="L3" s="16" t="n">
        <x:v>6.764374295377677</x:v>
      </x:c>
      <x:c r="M3" s="16" t="n">
        <x:v>16.602316602316602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20" hidden="0" customWidth="1"/>
    <x:col min="5" max="5" width="20" hidden="0" customWidth="1"/>
    <x:col min="6" max="6" width="13" hidden="0" customWidth="1"/>
    <x:col min="7" max="7" width="13" hidden="0" customWidth="1"/>
    <x:col min="8" max="8" width="48" hidden="0" customWidth="1"/>
  </x:cols>
  <x:sheetData>
    <x:row r="1" ht="64" customHeight="1">
      <x:c r="A1" s="6" t="str">
        <x:v>metric</x:v>
      </x:c>
      <x:c r="B1" s="6" t="str">
        <x:v>contrast</x:v>
      </x:c>
      <x:c r="C1" s="6" t="str">
        <x:v>estimate</x:v>
      </x:c>
      <x:c r="D1" s="6" t="str">
        <x:v>ci_lower</x:v>
      </x:c>
      <x:c r="E1" s="6" t="str">
        <x:v>ci_upper</x:v>
      </x:c>
      <x:c r="F1" s="6" t="str">
        <x:v>observed_n</x:v>
      </x:c>
      <x:c r="G1" s="6" t="str">
        <x:v>replicates</x:v>
      </x:c>
      <x:c r="H1" s="6" t="str">
        <x:v>prediction_policy</x:v>
      </x:c>
    </x:row>
    <x:row r="2" ht="36" customHeight="1">
      <x:c r="A2" s="3" t="str">
        <x:v>event_rate</x:v>
      </x:c>
      <x:c r="B2" s="3" t="str">
        <x:v>original</x:v>
      </x:c>
      <x:c r="C2" s="15" t="n">
        <x:v>0.1273979340875553</x:v>
      </x:c>
      <x:c r="D2" s="15" t="n">
        <x:v>0.1121495327102803</x:v>
      </x:c>
      <x:c r="E2" s="15" t="n">
        <x:v>0.1421544515494343</x:v>
      </x:c>
      <x:c r="F2" s="9" t="n">
        <x:v>2033</x:v>
      </x:c>
      <x:c r="G2" s="9" t="n">
        <x:v>1000</x:v>
      </x:c>
      <x:c r="H2" s="3" t="str">
        <x:v>fixed revised primary model and original predictor values</x:v>
      </x:c>
    </x:row>
    <x:row r="3" ht="36" customHeight="1">
      <x:c r="A3" s="7" t="str">
        <x:v>event_rate</x:v>
      </x:c>
      <x:c r="B3" s="7" t="str">
        <x:v>coarsened</x:v>
      </x:c>
      <x:c r="C3" s="16" t="n">
        <x:v>0.1652729955730447</x:v>
      </x:c>
      <x:c r="D3" s="16" t="n">
        <x:v>0.1490408263649778</x:v>
      </x:c>
      <x:c r="E3" s="16" t="n">
        <x:v>0.1819970486965076</x:v>
      </x:c>
      <x:c r="F3" s="10" t="n">
        <x:v>2033</x:v>
      </x:c>
      <x:c r="G3" s="10" t="n">
        <x:v>1000</x:v>
      </x:c>
      <x:c r="H3" s="7" t="str">
        <x:v>fixed revised primary model and original predictor values</x:v>
      </x:c>
    </x:row>
    <x:row r="4" ht="36" customHeight="1">
      <x:c r="A4" s="3" t="str">
        <x:v>event_rate</x:v>
      </x:c>
      <x:c r="B4" s="3" t="str">
        <x:v>difference</x:v>
      </x:c>
      <x:c r="C4" s="15" t="n">
        <x:v>0.0378750614854894</x:v>
      </x:c>
      <x:c r="D4" s="15" t="n">
        <x:v>0.0260698475159862</x:v>
      </x:c>
      <x:c r="E4" s="15" t="n">
        <x:v>0.0496802754549926</x:v>
      </x:c>
      <x:c r="F4" s="9" t="n">
        <x:v>2033</x:v>
      </x:c>
      <x:c r="G4" s="9" t="n">
        <x:v>1000</x:v>
      </x:c>
      <x:c r="H4" s="3" t="str">
        <x:v>fixed revised primary model and original predictor values</x:v>
      </x:c>
    </x:row>
    <x:row r="5" ht="36" customHeight="1">
      <x:c r="A5" s="7" t="str">
        <x:v>oe_ratio</x:v>
      </x:c>
      <x:c r="B5" s="7" t="str">
        <x:v>original</x:v>
      </x:c>
      <x:c r="C5" s="16" t="n">
        <x:v>1.0731009300803676</x:v>
      </x:c>
      <x:c r="D5" s="16" t="n">
        <x:v>0.9575800437462048</x:v>
      </x:c>
      <x:c r="E5" s="16" t="n">
        <x:v>1.1900970257754326</x:v>
      </x:c>
      <x:c r="F5" s="10" t="n">
        <x:v>2033</x:v>
      </x:c>
      <x:c r="G5" s="10" t="n">
        <x:v>1000</x:v>
      </x:c>
      <x:c r="H5" s="7" t="str">
        <x:v>fixed revised primary model and original predictor values</x:v>
      </x:c>
    </x:row>
    <x:row r="6" ht="36" customHeight="1">
      <x:c r="A6" s="3" t="str">
        <x:v>oe_ratio</x:v>
      </x:c>
      <x:c r="B6" s="3" t="str">
        <x:v>coarsened</x:v>
      </x:c>
      <x:c r="C6" s="15" t="n">
        <x:v>1.3921309363204768</x:v>
      </x:c>
      <x:c r="D6" s="15" t="n">
        <x:v>1.2553890172614404</x:v>
      </x:c>
      <x:c r="E6" s="15" t="n">
        <x:v>1.5277491161668997</x:v>
      </x:c>
      <x:c r="F6" s="9" t="n">
        <x:v>2033</x:v>
      </x:c>
      <x:c r="G6" s="9" t="n">
        <x:v>1000</x:v>
      </x:c>
      <x:c r="H6" s="3" t="str">
        <x:v>fixed revised primary model and original predictor values</x:v>
      </x:c>
    </x:row>
    <x:row r="7" ht="36" customHeight="1">
      <x:c r="A7" s="7" t="str">
        <x:v>oe_ratio</x:v>
      </x:c>
      <x:c r="B7" s="7" t="str">
        <x:v>difference</x:v>
      </x:c>
      <x:c r="C7" s="16" t="n">
        <x:v>0.3190300062401092</x:v>
      </x:c>
      <x:c r="D7" s="16" t="n">
        <x:v>0.2184909623437055</x:v>
      </x:c>
      <x:c r="E7" s="16" t="n">
        <x:v>0.4211592838282145</x:v>
      </x:c>
      <x:c r="F7" s="10" t="n">
        <x:v>2033</x:v>
      </x:c>
      <x:c r="G7" s="10" t="n">
        <x:v>1000</x:v>
      </x:c>
      <x:c r="H7" s="7" t="str">
        <x:v>fixed revised primary model and original predictor values</x:v>
      </x:c>
    </x:row>
    <x:row r="8" ht="36" customHeight="1">
      <x:c r="A8" s="3" t="str">
        <x:v>auroc</x:v>
      </x:c>
      <x:c r="B8" s="3" t="str">
        <x:v>original</x:v>
      </x:c>
      <x:c r="C8" s="15" t="n">
        <x:v>0.6568766785790462</x:v>
      </x:c>
      <x:c r="D8" s="15" t="n">
        <x:v>0.6218348709437891</x:v>
      </x:c>
      <x:c r="E8" s="15" t="n">
        <x:v>0.6911890730373165</x:v>
      </x:c>
      <x:c r="F8" s="9" t="n">
        <x:v>2033</x:v>
      </x:c>
      <x:c r="G8" s="9" t="n">
        <x:v>1000</x:v>
      </x:c>
      <x:c r="H8" s="3" t="str">
        <x:v>fixed revised primary model and original predictor values</x:v>
      </x:c>
    </x:row>
    <x:row r="9" ht="36" customHeight="1">
      <x:c r="A9" s="7" t="str">
        <x:v>auroc</x:v>
      </x:c>
      <x:c r="B9" s="7" t="str">
        <x:v>coarsened</x:v>
      </x:c>
      <x:c r="C9" s="16" t="n">
        <x:v>0.6232444509919466</x:v>
      </x:c>
      <x:c r="D9" s="16" t="n">
        <x:v>0.5899598335516472</x:v>
      </x:c>
      <x:c r="E9" s="16" t="n">
        <x:v>0.6548317376622118</x:v>
      </x:c>
      <x:c r="F9" s="10" t="n">
        <x:v>2033</x:v>
      </x:c>
      <x:c r="G9" s="10" t="n">
        <x:v>1000</x:v>
      </x:c>
      <x:c r="H9" s="7" t="str">
        <x:v>fixed revised primary model and original predictor values</x:v>
      </x:c>
    </x:row>
    <x:row r="10" ht="36" customHeight="1">
      <x:c r="A10" s="3" t="str">
        <x:v>auroc</x:v>
      </x:c>
      <x:c r="B10" s="3" t="str">
        <x:v>difference</x:v>
      </x:c>
      <x:c r="C10" s="15" t="n">
        <x:v>-0.0336322275870996</x:v>
      </x:c>
      <x:c r="D10" s="15" t="n">
        <x:v>-0.0624956881905227</x:v>
      </x:c>
      <x:c r="E10" s="15" t="n">
        <x:v>-0.0055498585741358</x:v>
      </x:c>
      <x:c r="F10" s="9" t="n">
        <x:v>2033</x:v>
      </x:c>
      <x:c r="G10" s="9" t="n">
        <x:v>1000</x:v>
      </x:c>
      <x:c r="H10" s="3" t="str">
        <x:v>fixed revised primary model and original predictor values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28" hidden="0" customWidth="1"/>
  </x:cols>
  <x:sheetData>
    <x:row r="1" ht="64" customHeight="1">
      <x:c r="A1" s="6" t="str">
        <x:v>dataset</x:v>
      </x:c>
      <x:c r="B1" s="6" t="str">
        <x:v>flag</x:v>
      </x:c>
      <x:c r="C1" s="6" t="str">
        <x:v>n_before_surgery_exclusions</x:v>
      </x:c>
    </x:row>
    <x:row r="2" ht="30" customHeight="1">
      <x:c r="A2" s="3" t="str">
        <x:v>INSPIRE</x:v>
      </x:c>
      <x:c r="B2" s="3" t="str">
        <x:v>CTS_department</x:v>
      </x:c>
      <x:c r="C2" s="9" t="n">
        <x:v>8533</x:v>
      </x:c>
    </x:row>
    <x:row r="3" ht="30" customHeight="1">
      <x:c r="A3" s="7" t="str">
        <x:v>INSPIRE</x:v>
      </x:c>
      <x:c r="B3" s="7" t="str">
        <x:v>CPB_record</x:v>
      </x:c>
      <x:c r="C3" s="10" t="n">
        <x:v>2520</x:v>
      </x:c>
    </x:row>
    <x:row r="4" ht="30" customHeight="1">
      <x:c r="A4" s="3" t="str">
        <x:v>INSPIRE</x:v>
      </x:c>
      <x:c r="B4" s="3" t="str">
        <x:v>cardiac_PCS</x:v>
      </x:c>
      <x:c r="C4" s="9" t="n">
        <x:v>2775</x:v>
      </x:c>
    </x:row>
    <x:row r="5" ht="30" customHeight="1">
      <x:c r="A5" s="7" t="str">
        <x:v>INSPIRE</x:v>
      </x:c>
      <x:c r="B5" s="7" t="str">
        <x:v>cardiac_union</x:v>
      </x:c>
      <x:c r="C5" s="10" t="n">
        <x:v>8976</x:v>
      </x:c>
    </x:row>
    <x:row r="6" ht="30" customHeight="1">
      <x:c r="A6" s="3" t="str">
        <x:v>INSPIRE</x:v>
      </x:c>
      <x:c r="B6" s="3" t="str">
        <x:v>OG_department</x:v>
      </x:c>
      <x:c r="C6" s="9" t="n">
        <x:v>9915</x:v>
      </x:c>
    </x:row>
    <x:row r="7" ht="30" customHeight="1">
      <x:c r="A7" s="7" t="str">
        <x:v>INSPIRE</x:v>
      </x:c>
      <x:c r="B7" s="7" t="str">
        <x:v>obstetric_PCS_7char</x:v>
      </x:c>
      <x:c r="C7" s="10" t="n">
        <x:v>0</x:v>
      </x:c>
    </x:row>
    <x:row r="8" ht="30" customHeight="1">
      <x:c r="A8" s="3" t="str">
        <x:v>INSPIRE</x:v>
      </x:c>
      <x:c r="B8" s="3" t="str">
        <x:v>obstetric_PCS_5char</x:v>
      </x:c>
      <x:c r="C8" s="9" t="n">
        <x:v>264</x:v>
      </x:c>
    </x:row>
    <x:row r="9" ht="30" customHeight="1">
      <x:c r="A9" s="7" t="str">
        <x:v>INSPIRE</x:v>
      </x:c>
      <x:c r="B9" s="7" t="str">
        <x:v>obstetric_union_corrected</x:v>
      </x:c>
      <x:c r="C9" s="10" t="str">
        <x:v>suppressed</x:v>
      </x:c>
    </x:row>
    <x:row r="10" ht="30" customHeight="1">
      <x:c r="A10" s="3" t="str">
        <x:v>INSPIRE</x:v>
      </x:c>
      <x:c r="B10" s="3" t="str">
        <x:v>cardiac_obstetric_overlap</x:v>
      </x:c>
      <x:c r="C10" s="9" t="str">
        <x:v>&lt;5</x:v>
      </x:c>
    </x:row>
    <x:row r="11" ht="36" customHeight="1">
      <x:c r="A11" s="7" t="str">
        <x:v>INSPIRE</x:v>
      </x:c>
      <x:c r="B11" s="7" t="str">
        <x:v>CTS_without_CPB_or_cardiac_PCS</x:v>
      </x:c>
      <x:c r="C11" s="10" t="n">
        <x:v>5859</x:v>
      </x:c>
    </x:row>
    <x:row r="12" ht="30" customHeight="1">
      <x:c r="A12" s="3" t="str">
        <x:v>INSPIRE</x:v>
      </x:c>
      <x:c r="B12" s="3" t="str">
        <x:v>OG_without_obstetric_PCS</x:v>
      </x:c>
      <x:c r="C12" s="9" t="str">
        <x:v>suppressed</x:v>
      </x:c>
    </x:row>
    <x:row r="13" ht="36" customHeight="1">
      <x:c r="A13" s="7" t="str">
        <x:v>MOVER all years</x:v>
      </x:c>
      <x:c r="B13" s="7" t="str">
        <x:v>cardiac_procedure</x:v>
      </x:c>
      <x:c r="C13" s="10" t="n">
        <x:v>801</x:v>
      </x:c>
    </x:row>
    <x:row r="14" ht="36" customHeight="1">
      <x:c r="A14" s="3" t="str">
        <x:v>MOVER all years</x:v>
      </x:c>
      <x:c r="B14" s="3" t="str">
        <x:v>obstetric_procedure</x:v>
      </x:c>
      <x:c r="C14" s="9" t="n">
        <x:v>1117</x:v>
      </x:c>
    </x:row>
    <x:row r="15" ht="36" customHeight="1">
      <x:c r="A15" s="7" t="str">
        <x:v>MOVER all years</x:v>
      </x:c>
      <x:c r="B15" s="7" t="str">
        <x:v>cardiac_obstetric_overlap</x:v>
      </x:c>
      <x:c r="C15" s="10" t="n">
        <x:v>0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1" hidden="0" customWidth="1"/>
    <x:col min="4" max="4" width="26" hidden="0" customWidth="1"/>
    <x:col min="5" max="5" width="39" hidden="0" customWidth="1"/>
    <x:col min="6" max="6" width="37" hidden="0" customWidth="1"/>
    <x:col min="7" max="7" width="25" hidden="0" customWidth="1"/>
    <x:col min="8" max="8" width="23" hidden="0" customWidth="1"/>
  </x:cols>
  <x:sheetData>
    <x:row r="1" ht="64" customHeight="1">
      <x:c r="A1" s="6" t="str">
        <x:v>phase</x:v>
      </x:c>
      <x:c r="B1" s="6" t="str">
        <x:v>variable</x:v>
      </x:c>
      <x:c r="C1" s="6" t="str">
        <x:v>level</x:v>
      </x:c>
      <x:c r="D1" s="6" t="str">
        <x:v>target_mean_or_proportion</x:v>
      </x:c>
      <x:c r="E1" s="6" t="str">
        <x:v>observed_unweighted_mean_or_proportion</x:v>
      </x:c>
      <x:c r="F1" s="6" t="str">
        <x:v>observed_weighted_mean_or_proportion</x:v>
      </x:c>
      <x:c r="G1" s="6" t="str">
        <x:v>unweighted_smd_vs_target</x:v>
      </x:c>
      <x:c r="H1" s="6" t="str">
        <x:v>weighted_smd_vs_target</x:v>
      </x:c>
    </x:row>
    <x:row r="2" ht="36" customHeight="1">
      <x:c r="A2" s="3" t="str">
        <x:v>INSPIRE</x:v>
      </x:c>
      <x:c r="B2" s="3" t="str">
        <x:v>age</x:v>
      </x:c>
      <x:c r="C2" s="3" t="str">
        <x:v>continuous_or_binary</x:v>
      </x:c>
      <x:c r="D2" s="15" t="n">
        <x:v>55.97697191112176</x:v>
      </x:c>
      <x:c r="E2" s="15" t="n">
        <x:v>57.56071083949823</x:v>
      </x:c>
      <x:c r="F2" s="15" t="n">
        <x:v>55.85987404797126</x:v>
      </x:c>
      <x:c r="G2" s="15" t="n">
        <x:v>0.1000103158370987</x:v>
      </x:c>
      <x:c r="H2" s="15" t="n">
        <x:v>-0.0073945232182528</x:v>
      </x:c>
    </x:row>
    <x:row r="3" ht="36" customHeight="1">
      <x:c r="A3" s="7" t="str">
        <x:v>INSPIRE</x:v>
      </x:c>
      <x:c r="B3" s="7" t="str">
        <x:v>sex_male</x:v>
      </x:c>
      <x:c r="C3" s="7" t="str">
        <x:v>continuous_or_binary</x:v>
      </x:c>
      <x:c r="D3" s="16" t="n">
        <x:v>0.5141941666167575</x:v>
      </x:c>
      <x:c r="E3" s="16" t="n">
        <x:v>0.5449099388871019</x:v>
      </x:c>
      <x:c r="F3" s="16" t="n">
        <x:v>0.5148702131776383</x:v>
      </x:c>
      <x:c r="G3" s="16" t="n">
        <x:v>0.061455393098582</x:v>
      </x:c>
      <x:c r="H3" s="16" t="n">
        <x:v>0.00135261802263</x:v>
      </x:c>
    </x:row>
    <x:row r="4" ht="36" customHeight="1">
      <x:c r="A4" s="3" t="str">
        <x:v>INSPIRE</x:v>
      </x:c>
      <x:c r="B4" s="3" t="str">
        <x:v>duration_h</x:v>
      </x:c>
      <x:c r="C4" s="3" t="str">
        <x:v>continuous_or_binary</x:v>
      </x:c>
      <x:c r="D4" s="15" t="n">
        <x:v>3.011494080772993</x:v>
      </x:c>
      <x:c r="E4" s="15" t="n">
        <x:v>3.467265733890854</x:v>
      </x:c>
      <x:c r="F4" s="15" t="n">
        <x:v>3.0493479118103175</x:v>
      </x:c>
      <x:c r="G4" s="15" t="n">
        <x:v>0.2344469970400171</x:v>
      </x:c>
      <x:c r="H4" s="15" t="n">
        <x:v>0.0194718494501586</x:v>
      </x:c>
    </x:row>
    <x:row r="5" ht="36" customHeight="1">
      <x:c r="A5" s="7" t="str">
        <x:v>INSPIRE</x:v>
      </x:c>
      <x:c r="B5" s="7" t="str">
        <x:v>baseline_cr</x:v>
      </x:c>
      <x:c r="C5" s="7" t="str">
        <x:v>continuous_or_binary</x:v>
      </x:c>
      <x:c r="D5" s="16" t="n">
        <x:v>0.8486368808768043</x:v>
      </x:c>
      <x:c r="E5" s="16" t="n">
        <x:v>0.8593739948536507</x:v>
      </x:c>
      <x:c r="F5" s="16" t="n">
        <x:v>0.8490717259026046</x:v>
      </x:c>
      <x:c r="G5" s="16" t="n">
        <x:v>0.0307091784873212</x:v>
      </x:c>
      <x:c r="H5" s="16" t="n">
        <x:v>0.0012436985898091</x:v>
      </x:c>
    </x:row>
    <x:row r="6" ht="30" customHeight="1">
      <x:c r="A6" s="3" t="str">
        <x:v>INSPIRE</x:v>
      </x:c>
      <x:c r="B6" s="3" t="str">
        <x:v>asa</x:v>
      </x:c>
      <x:c r="C6" s="9" t="n">
        <x:v>1</x:v>
      </x:c>
      <x:c r="D6" s="15" t="str">
        <x:v>suppressed</x:v>
      </x:c>
      <x:c r="E6" s="15" t="str">
        <x:v>suppressed</x:v>
      </x:c>
      <x:c r="F6" s="15" t="str">
        <x:v>suppressed</x:v>
      </x:c>
      <x:c r="G6" s="15" t="str">
        <x:v>suppressed</x:v>
      </x:c>
      <x:c r="H6" s="15" t="str">
        <x:v>suppressed</x:v>
      </x:c>
    </x:row>
    <x:row r="7" ht="30" customHeight="1">
      <x:c r="A7" s="7" t="str">
        <x:v>INSPIRE</x:v>
      </x:c>
      <x:c r="B7" s="7" t="str">
        <x:v>asa</x:v>
      </x:c>
      <x:c r="C7" s="10" t="n">
        <x:v>2</x:v>
      </x:c>
      <x:c r="D7" s="16" t="str">
        <x:v>suppressed</x:v>
      </x:c>
      <x:c r="E7" s="16" t="str">
        <x:v>suppressed</x:v>
      </x:c>
      <x:c r="F7" s="16" t="str">
        <x:v>suppressed</x:v>
      </x:c>
      <x:c r="G7" s="16" t="str">
        <x:v>suppressed</x:v>
      </x:c>
      <x:c r="H7" s="16" t="str">
        <x:v>suppressed</x:v>
      </x:c>
    </x:row>
    <x:row r="8" ht="30" customHeight="1">
      <x:c r="A8" s="3" t="str">
        <x:v>INSPIRE</x:v>
      </x:c>
      <x:c r="B8" s="3" t="str">
        <x:v>asa</x:v>
      </x:c>
      <x:c r="C8" s="9" t="n">
        <x:v>3</x:v>
      </x:c>
      <x:c r="D8" s="15" t="str">
        <x:v>suppressed</x:v>
      </x:c>
      <x:c r="E8" s="15" t="str">
        <x:v>suppressed</x:v>
      </x:c>
      <x:c r="F8" s="15" t="str">
        <x:v>suppressed</x:v>
      </x:c>
      <x:c r="G8" s="15" t="str">
        <x:v>suppressed</x:v>
      </x:c>
      <x:c r="H8" s="15" t="str">
        <x:v>suppressed</x:v>
      </x:c>
    </x:row>
    <x:row r="9" ht="30" customHeight="1">
      <x:c r="A9" s="7" t="str">
        <x:v>INSPIRE</x:v>
      </x:c>
      <x:c r="B9" s="7" t="str">
        <x:v>asa</x:v>
      </x:c>
      <x:c r="C9" s="10" t="n">
        <x:v>4</x:v>
      </x:c>
      <x:c r="D9" s="16" t="str">
        <x:v>suppressed</x:v>
      </x:c>
      <x:c r="E9" s="16" t="str">
        <x:v>suppressed</x:v>
      </x:c>
      <x:c r="F9" s="16" t="str">
        <x:v>suppressed</x:v>
      </x:c>
      <x:c r="G9" s="16" t="str">
        <x:v>suppressed</x:v>
      </x:c>
      <x:c r="H9" s="16" t="str">
        <x:v>suppressed</x:v>
      </x:c>
    </x:row>
    <x:row r="10" ht="30" customHeight="1">
      <x:c r="A10" s="3" t="str">
        <x:v>INSPIRE</x:v>
      </x:c>
      <x:c r="B10" s="3" t="str">
        <x:v>asa</x:v>
      </x:c>
      <x:c r="C10" s="9" t="n">
        <x:v>5</x:v>
      </x:c>
      <x:c r="D10" s="15" t="str">
        <x:v>suppressed</x:v>
      </x:c>
      <x:c r="E10" s="15" t="str">
        <x:v>suppressed</x:v>
      </x:c>
      <x:c r="F10" s="15" t="str">
        <x:v>suppressed</x:v>
      </x:c>
      <x:c r="G10" s="15" t="str">
        <x:v>suppressed</x:v>
      </x:c>
      <x:c r="H10" s="15" t="str">
        <x:v>suppressed</x:v>
      </x:c>
    </x:row>
    <x:row r="11" ht="30" customHeight="1">
      <x:c r="A11" s="7" t="str">
        <x:v>INSPIRE</x:v>
      </x:c>
      <x:c r="B11" s="7" t="str">
        <x:v>asa</x:v>
      </x:c>
      <x:c r="C11" s="10" t="n">
        <x:v>6</x:v>
      </x:c>
      <x:c r="D11" s="16" t="str">
        <x:v>suppressed</x:v>
      </x:c>
      <x:c r="E11" s="16" t="str">
        <x:v>&lt;0.000202</x:v>
      </x:c>
      <x:c r="F11" s="16" t="str">
        <x:v>suppressed</x:v>
      </x:c>
      <x:c r="G11" s="16" t="str">
        <x:v>suppressed</x:v>
      </x:c>
      <x:c r="H11" s="16" t="str">
        <x:v>suppressed</x:v>
      </x:c>
    </x:row>
    <x:row r="12" ht="30" customHeight="1">
      <x:c r="A12" s="3" t="str">
        <x:v>INSPIRE</x:v>
      </x:c>
      <x:c r="B12" s="3" t="str">
        <x:v>asa</x:v>
      </x:c>
      <x:c r="C12" s="3" t="str">
        <x:v>&lt;missing&gt;</x:v>
      </x:c>
      <x:c r="D12" s="15" t="str">
        <x:v>suppressed</x:v>
      </x:c>
      <x:c r="E12" s="15" t="str">
        <x:v>suppressed</x:v>
      </x:c>
      <x:c r="F12" s="15" t="str">
        <x:v>suppressed</x:v>
      </x:c>
      <x:c r="G12" s="15" t="str">
        <x:v>suppressed</x:v>
      </x:c>
      <x:c r="H12" s="15" t="str">
        <x:v>suppressed</x:v>
      </x:c>
    </x:row>
    <x:row r="13" ht="36" customHeight="1">
      <x:c r="A13" s="7" t="str">
        <x:v>MOVER 2021</x:v>
      </x:c>
      <x:c r="B13" s="7" t="str">
        <x:v>age</x:v>
      </x:c>
      <x:c r="C13" s="7" t="str">
        <x:v>continuous_or_binary</x:v>
      </x:c>
      <x:c r="D13" s="16" t="n">
        <x:v>51.361527480371166</x:v>
      </x:c>
      <x:c r="E13" s="16" t="n">
        <x:v>53.44303797468354</x:v>
      </x:c>
      <x:c r="F13" s="16" t="n">
        <x:v>51.59652568041562</x:v>
      </x:c>
      <x:c r="G13" s="16" t="n">
        <x:v>0.1077440597145987</x:v>
      </x:c>
      <x:c r="H13" s="16" t="n">
        <x:v>0.0121640799638518</x:v>
      </x:c>
    </x:row>
    <x:row r="14" ht="36" customHeight="1">
      <x:c r="A14" s="3" t="str">
        <x:v>MOVER 2021</x:v>
      </x:c>
      <x:c r="B14" s="3" t="str">
        <x:v>sex_male</x:v>
      </x:c>
      <x:c r="C14" s="3" t="str">
        <x:v>continuous_or_binary</x:v>
      </x:c>
      <x:c r="D14" s="15" t="n">
        <x:v>0.5974304068522484</x:v>
      </x:c>
      <x:c r="E14" s="15" t="n">
        <x:v>0.6098553345388789</x:v>
      </x:c>
      <x:c r="F14" s="15" t="n">
        <x:v>0.5983291557638687</x:v>
      </x:c>
      <x:c r="G14" s="15" t="n">
        <x:v>0.0253309928918175</x:v>
      </x:c>
      <x:c r="H14" s="15" t="n">
        <x:v>0.0018323005868501</x:v>
      </x:c>
    </x:row>
    <x:row r="15" ht="36" customHeight="1">
      <x:c r="A15" s="7" t="str">
        <x:v>MOVER 2021</x:v>
      </x:c>
      <x:c r="B15" s="7" t="str">
        <x:v>duration_h</x:v>
      </x:c>
      <x:c r="C15" s="7" t="str">
        <x:v>continuous_or_binary</x:v>
      </x:c>
      <x:c r="D15" s="16" t="n">
        <x:v>3.3619081608374968</x:v>
      </x:c>
      <x:c r="E15" s="16" t="n">
        <x:v>3.5741109101868593</x:v>
      </x:c>
      <x:c r="F15" s="16" t="n">
        <x:v>3.3905750683891567</x:v>
      </x:c>
      <x:c r="G15" s="16" t="n">
        <x:v>0.1024297647576101</x:v>
      </x:c>
      <x:c r="H15" s="16" t="n">
        <x:v>0.013837448411238</x:v>
      </x:c>
    </x:row>
    <x:row r="16" ht="36" customHeight="1">
      <x:c r="A16" s="3" t="str">
        <x:v>MOVER 2021</x:v>
      </x:c>
      <x:c r="B16" s="3" t="str">
        <x:v>baseline_cr</x:v>
      </x:c>
      <x:c r="C16" s="3" t="str">
        <x:v>continuous_or_binary</x:v>
      </x:c>
      <x:c r="D16" s="15" t="n">
        <x:v>0.9034618129907208</x:v>
      </x:c>
      <x:c r="E16" s="15" t="n">
        <x:v>0.9078209764918626</x:v>
      </x:c>
      <x:c r="F16" s="15" t="n">
        <x:v>0.9021868999711872</x:v>
      </x:c>
      <x:c r="G16" s="15" t="n">
        <x:v>0.0090457365259306</x:v>
      </x:c>
      <x:c r="H16" s="15" t="n">
        <x:v>-0.0026455826364759</x:v>
      </x:c>
    </x:row>
    <x:row r="17" ht="30" customHeight="1">
      <x:c r="A17" s="7" t="str">
        <x:v>MOVER 2021</x:v>
      </x:c>
      <x:c r="B17" s="7" t="str">
        <x:v>asa</x:v>
      </x:c>
      <x:c r="C17" s="10" t="n">
        <x:v>1</x:v>
      </x:c>
      <x:c r="D17" s="16" t="str">
        <x:v>suppressed</x:v>
      </x:c>
      <x:c r="E17" s="16" t="str">
        <x:v>suppressed</x:v>
      </x:c>
      <x:c r="F17" s="16" t="str">
        <x:v>suppressed</x:v>
      </x:c>
      <x:c r="G17" s="16" t="str">
        <x:v>suppressed</x:v>
      </x:c>
      <x:c r="H17" s="16" t="str">
        <x:v>suppressed</x:v>
      </x:c>
    </x:row>
    <x:row r="18" ht="30" customHeight="1">
      <x:c r="A18" s="3" t="str">
        <x:v>MOVER 2021</x:v>
      </x:c>
      <x:c r="B18" s="3" t="str">
        <x:v>asa</x:v>
      </x:c>
      <x:c r="C18" s="9" t="n">
        <x:v>2</x:v>
      </x:c>
      <x:c r="D18" s="15" t="str">
        <x:v>suppressed</x:v>
      </x:c>
      <x:c r="E18" s="15" t="str">
        <x:v>suppressed</x:v>
      </x:c>
      <x:c r="F18" s="15" t="str">
        <x:v>suppressed</x:v>
      </x:c>
      <x:c r="G18" s="15" t="str">
        <x:v>suppressed</x:v>
      </x:c>
      <x:c r="H18" s="15" t="str">
        <x:v>suppressed</x:v>
      </x:c>
    </x:row>
    <x:row r="19" ht="30" customHeight="1">
      <x:c r="A19" s="7" t="str">
        <x:v>MOVER 2021</x:v>
      </x:c>
      <x:c r="B19" s="7" t="str">
        <x:v>asa</x:v>
      </x:c>
      <x:c r="C19" s="10" t="n">
        <x:v>3</x:v>
      </x:c>
      <x:c r="D19" s="16" t="str">
        <x:v>suppressed</x:v>
      </x:c>
      <x:c r="E19" s="16" t="str">
        <x:v>suppressed</x:v>
      </x:c>
      <x:c r="F19" s="16" t="str">
        <x:v>suppressed</x:v>
      </x:c>
      <x:c r="G19" s="16" t="str">
        <x:v>suppressed</x:v>
      </x:c>
      <x:c r="H19" s="16" t="str">
        <x:v>suppressed</x:v>
      </x:c>
    </x:row>
    <x:row r="20" ht="30" customHeight="1">
      <x:c r="A20" s="3" t="str">
        <x:v>MOVER 2021</x:v>
      </x:c>
      <x:c r="B20" s="3" t="str">
        <x:v>asa</x:v>
      </x:c>
      <x:c r="C20" s="9" t="n">
        <x:v>4</x:v>
      </x:c>
      <x:c r="D20" s="15" t="str">
        <x:v>suppressed</x:v>
      </x:c>
      <x:c r="E20" s="15" t="str">
        <x:v>suppressed</x:v>
      </x:c>
      <x:c r="F20" s="15" t="str">
        <x:v>suppressed</x:v>
      </x:c>
      <x:c r="G20" s="15" t="str">
        <x:v>suppressed</x:v>
      </x:c>
      <x:c r="H20" s="15" t="str">
        <x:v>suppressed</x:v>
      </x:c>
    </x:row>
    <x:row r="21" ht="30" customHeight="1">
      <x:c r="A21" s="7" t="str">
        <x:v>MOVER 2021</x:v>
      </x:c>
      <x:c r="B21" s="7" t="str">
        <x:v>asa</x:v>
      </x:c>
      <x:c r="C21" s="10" t="n">
        <x:v>5</x:v>
      </x:c>
      <x:c r="D21" s="16" t="str">
        <x:v>suppressed</x:v>
      </x:c>
      <x:c r="E21" s="16" t="str">
        <x:v>suppressed</x:v>
      </x:c>
      <x:c r="F21" s="16" t="str">
        <x:v>suppressed</x:v>
      </x:c>
      <x:c r="G21" s="16" t="str">
        <x:v>suppressed</x:v>
      </x:c>
      <x:c r="H21" s="16" t="str">
        <x:v>suppressed</x:v>
      </x:c>
    </x:row>
    <x:row r="22" ht="30" customHeight="1">
      <x:c r="A22" s="3" t="str">
        <x:v>MOVER 2021</x:v>
      </x:c>
      <x:c r="B22" s="3" t="str">
        <x:v>asa</x:v>
      </x:c>
      <x:c r="C22" s="9" t="n">
        <x:v>6</x:v>
      </x:c>
      <x:c r="D22" s="15" t="str">
        <x:v>&lt;0.001785</x:v>
      </x:c>
      <x:c r="E22" s="9" t="str">
        <x:v>suppressed</x:v>
      </x:c>
      <x:c r="F22" s="9" t="str">
        <x:v>suppressed</x:v>
      </x:c>
      <x:c r="G22" s="15" t="str">
        <x:v>suppressed</x:v>
      </x:c>
      <x:c r="H22" s="15" t="str">
        <x:v>suppressed</x:v>
      </x:c>
    </x:row>
    <x:row r="23" ht="30" customHeight="1">
      <x:c r="A23" s="7" t="str">
        <x:v>MOVER 2021</x:v>
      </x:c>
      <x:c r="B23" s="7" t="str">
        <x:v>asa</x:v>
      </x:c>
      <x:c r="C23" s="7" t="str">
        <x:v>&lt;missing&gt;</x:v>
      </x:c>
      <x:c r="D23" s="16" t="str">
        <x:v>&lt;0.001785</x:v>
      </x:c>
      <x:c r="E23" s="16" t="str">
        <x:v>&lt;0.002261</x:v>
      </x:c>
      <x:c r="F23" s="16" t="str">
        <x:v>suppressed</x:v>
      </x:c>
      <x:c r="G23" s="16" t="str">
        <x:v>suppressed</x:v>
      </x:c>
      <x:c r="H23" s="16" t="str">
        <x:v>suppressed</x:v>
      </x:c>
    </x:row>
    <x:row r="24" ht="36" customHeight="1">
      <x:c r="A24" s="3" t="str">
        <x:v>MOVER 2021</x:v>
      </x:c>
      <x:c r="B24" s="3" t="str">
        <x:v>surgery_category</x:v>
      </x:c>
      <x:c r="C24" s="3" t="str">
        <x:v>abdominal</x:v>
      </x:c>
      <x:c r="D24" s="15" t="str">
        <x:v>suppressed</x:v>
      </x:c>
      <x:c r="E24" s="15" t="str">
        <x:v>suppressed</x:v>
      </x:c>
      <x:c r="F24" s="15" t="str">
        <x:v>suppressed</x:v>
      </x:c>
      <x:c r="G24" s="15" t="str">
        <x:v>suppressed</x:v>
      </x:c>
      <x:c r="H24" s="15" t="str">
        <x:v>suppressed</x:v>
      </x:c>
    </x:row>
    <x:row r="25" ht="36" customHeight="1">
      <x:c r="A25" s="7" t="str">
        <x:v>MOVER 2021</x:v>
      </x:c>
      <x:c r="B25" s="7" t="str">
        <x:v>surgery_category</x:v>
      </x:c>
      <x:c r="C25" s="7" t="str">
        <x:v>breast</x:v>
      </x:c>
      <x:c r="D25" s="16" t="str">
        <x:v>suppressed</x:v>
      </x:c>
      <x:c r="E25" s="16" t="str">
        <x:v>&lt;0.002261</x:v>
      </x:c>
      <x:c r="F25" s="16" t="str">
        <x:v>suppressed</x:v>
      </x:c>
      <x:c r="G25" s="16" t="str">
        <x:v>suppressed</x:v>
      </x:c>
      <x:c r="H25" s="16" t="str">
        <x:v>suppressed</x:v>
      </x:c>
    </x:row>
    <x:row r="26" ht="36" customHeight="1">
      <x:c r="A26" s="3" t="str">
        <x:v>MOVER 2021</x:v>
      </x:c>
      <x:c r="B26" s="3" t="str">
        <x:v>surgery_category</x:v>
      </x:c>
      <x:c r="C26" s="3" t="str">
        <x:v>head_neck</x:v>
      </x:c>
      <x:c r="D26" s="15" t="str">
        <x:v>suppressed</x:v>
      </x:c>
      <x:c r="E26" s="15" t="str">
        <x:v>suppressed</x:v>
      </x:c>
      <x:c r="F26" s="15" t="str">
        <x:v>suppressed</x:v>
      </x:c>
      <x:c r="G26" s="15" t="str">
        <x:v>suppressed</x:v>
      </x:c>
      <x:c r="H26" s="15" t="str">
        <x:v>suppressed</x:v>
      </x:c>
    </x:row>
    <x:row r="27" ht="36" customHeight="1">
      <x:c r="A27" s="7" t="str">
        <x:v>MOVER 2021</x:v>
      </x:c>
      <x:c r="B27" s="7" t="str">
        <x:v>surgery_category</x:v>
      </x:c>
      <x:c r="C27" s="7" t="str">
        <x:v>neurologic</x:v>
      </x:c>
      <x:c r="D27" s="16" t="str">
        <x:v>suppressed</x:v>
      </x:c>
      <x:c r="E27" s="16" t="str">
        <x:v>suppressed</x:v>
      </x:c>
      <x:c r="F27" s="16" t="str">
        <x:v>suppressed</x:v>
      </x:c>
      <x:c r="G27" s="16" t="str">
        <x:v>suppressed</x:v>
      </x:c>
      <x:c r="H27" s="16" t="str">
        <x:v>suppressed</x:v>
      </x:c>
    </x:row>
    <x:row r="28" ht="36" customHeight="1">
      <x:c r="A28" s="3" t="str">
        <x:v>MOVER 2021</x:v>
      </x:c>
      <x:c r="B28" s="3" t="str">
        <x:v>surgery_category</x:v>
      </x:c>
      <x:c r="C28" s="3" t="str">
        <x:v>orthopedic</x:v>
      </x:c>
      <x:c r="D28" s="15" t="str">
        <x:v>suppressed</x:v>
      </x:c>
      <x:c r="E28" s="15" t="str">
        <x:v>suppressed</x:v>
      </x:c>
      <x:c r="F28" s="15" t="str">
        <x:v>suppressed</x:v>
      </x:c>
      <x:c r="G28" s="15" t="str">
        <x:v>suppressed</x:v>
      </x:c>
      <x:c r="H28" s="15" t="str">
        <x:v>suppressed</x:v>
      </x:c>
    </x:row>
    <x:row r="29" ht="36" customHeight="1">
      <x:c r="A29" s="7" t="str">
        <x:v>MOVER 2021</x:v>
      </x:c>
      <x:c r="B29" s="7" t="str">
        <x:v>surgery_category</x:v>
      </x:c>
      <x:c r="C29" s="7" t="str">
        <x:v>other</x:v>
      </x:c>
      <x:c r="D29" s="16" t="str">
        <x:v>suppressed</x:v>
      </x:c>
      <x:c r="E29" s="16" t="str">
        <x:v>suppressed</x:v>
      </x:c>
      <x:c r="F29" s="16" t="str">
        <x:v>suppressed</x:v>
      </x:c>
      <x:c r="G29" s="16" t="str">
        <x:v>suppressed</x:v>
      </x:c>
      <x:c r="H29" s="16" t="str">
        <x:v>suppressed</x:v>
      </x:c>
    </x:row>
    <x:row r="30" ht="36" customHeight="1">
      <x:c r="A30" s="3" t="str">
        <x:v>MOVER 2021</x:v>
      </x:c>
      <x:c r="B30" s="3" t="str">
        <x:v>surgery_category</x:v>
      </x:c>
      <x:c r="C30" s="3" t="str">
        <x:v>plastic</x:v>
      </x:c>
      <x:c r="D30" s="15" t="str">
        <x:v>suppressed</x:v>
      </x:c>
      <x:c r="E30" s="15" t="str">
        <x:v>suppressed</x:v>
      </x:c>
      <x:c r="F30" s="15" t="str">
        <x:v>suppressed</x:v>
      </x:c>
      <x:c r="G30" s="15" t="str">
        <x:v>suppressed</x:v>
      </x:c>
      <x:c r="H30" s="15" t="str">
        <x:v>suppressed</x:v>
      </x:c>
    </x:row>
    <x:row r="31" ht="36" customHeight="1">
      <x:c r="A31" s="7" t="str">
        <x:v>MOVER 2021</x:v>
      </x:c>
      <x:c r="B31" s="7" t="str">
        <x:v>surgery_category</x:v>
      </x:c>
      <x:c r="C31" s="7" t="str">
        <x:v>thoracic</x:v>
      </x:c>
      <x:c r="D31" s="16" t="str">
        <x:v>suppressed</x:v>
      </x:c>
      <x:c r="E31" s="16" t="str">
        <x:v>suppressed</x:v>
      </x:c>
      <x:c r="F31" s="16" t="str">
        <x:v>suppressed</x:v>
      </x:c>
      <x:c r="G31" s="16" t="str">
        <x:v>suppressed</x:v>
      </x:c>
      <x:c r="H31" s="16" t="str">
        <x:v>suppressed</x:v>
      </x:c>
    </x:row>
    <x:row r="32" ht="36" customHeight="1">
      <x:c r="A32" s="3" t="str">
        <x:v>MOVER 2021</x:v>
      </x:c>
      <x:c r="B32" s="3" t="str">
        <x:v>surgery_category</x:v>
      </x:c>
      <x:c r="C32" s="3" t="str">
        <x:v>urologic</x:v>
      </x:c>
      <x:c r="D32" s="15" t="str">
        <x:v>suppressed</x:v>
      </x:c>
      <x:c r="E32" s="15" t="str">
        <x:v>suppressed</x:v>
      </x:c>
      <x:c r="F32" s="15" t="str">
        <x:v>suppressed</x:v>
      </x:c>
      <x:c r="G32" s="15" t="str">
        <x:v>suppressed</x:v>
      </x:c>
      <x:c r="H32" s="15" t="str">
        <x:v>suppressed</x:v>
      </x:c>
    </x:row>
    <x:row r="33" ht="36" customHeight="1">
      <x:c r="A33" s="7" t="str">
        <x:v>MOVER 2021</x:v>
      </x:c>
      <x:c r="B33" s="7" t="str">
        <x:v>surgery_category</x:v>
      </x:c>
      <x:c r="C33" s="7" t="str">
        <x:v>vascular</x:v>
      </x:c>
      <x:c r="D33" s="16" t="str">
        <x:v>suppressed</x:v>
      </x:c>
      <x:c r="E33" s="16" t="str">
        <x:v>suppressed</x:v>
      </x:c>
      <x:c r="F33" s="16" t="str">
        <x:v>suppressed</x:v>
      </x:c>
      <x:c r="G33" s="16" t="str">
        <x:v>suppressed</x:v>
      </x:c>
      <x:c r="H33" s="16" t="str">
        <x:v>suppressed</x:v>
      </x:c>
    </x:row>
    <x:row r="34" ht="36" customHeight="1">
      <x:c r="A34" s="3" t="str">
        <x:v>MOVER 2022</x:v>
      </x:c>
      <x:c r="B34" s="3" t="str">
        <x:v>age</x:v>
      </x:c>
      <x:c r="C34" s="3" t="str">
        <x:v>continuous_or_binary</x:v>
      </x:c>
      <x:c r="D34" s="15" t="n">
        <x:v>51.62234248163897</x:v>
      </x:c>
      <x:c r="E34" s="15" t="n">
        <x:v>54.126414166256765</x:v>
      </x:c>
      <x:c r="F34" s="15" t="n">
        <x:v>51.802470450562815</x:v>
      </x:c>
      <x:c r="G34" s="15" t="n">
        <x:v>0.1282623543919535</x:v>
      </x:c>
      <x:c r="H34" s="15" t="n">
        <x:v>0.0092264281122366</x:v>
      </x:c>
    </x:row>
    <x:row r="35" ht="36" customHeight="1">
      <x:c r="A35" s="7" t="str">
        <x:v>MOVER 2022</x:v>
      </x:c>
      <x:c r="B35" s="7" t="str">
        <x:v>sex_male</x:v>
      </x:c>
      <x:c r="C35" s="7" t="str">
        <x:v>continuous_or_binary</x:v>
      </x:c>
      <x:c r="D35" s="16" t="n">
        <x:v>0.5798221878623888</x:v>
      </x:c>
      <x:c r="E35" s="16" t="n">
        <x:v>0.5976389572060994</x:v>
      </x:c>
      <x:c r="F35" s="16" t="n">
        <x:v>0.5834903856953021</x:v>
      </x:c>
      <x:c r="G35" s="16" t="n">
        <x:v>0.0360895137541165</x:v>
      </x:c>
      <x:c r="H35" s="16" t="n">
        <x:v>0.0074302738947718</x:v>
      </x:c>
    </x:row>
    <x:row r="36" ht="36" customHeight="1">
      <x:c r="A36" s="3" t="str">
        <x:v>MOVER 2022</x:v>
      </x:c>
      <x:c r="B36" s="3" t="str">
        <x:v>duration_h</x:v>
      </x:c>
      <x:c r="C36" s="3" t="str">
        <x:v>continuous_or_binary</x:v>
      </x:c>
      <x:c r="D36" s="15" t="n">
        <x:v>3.257299317098312</x:v>
      </x:c>
      <x:c r="E36" s="15" t="n">
        <x:v>3.47027381537957</x:v>
      </x:c>
      <x:c r="F36" s="15" t="n">
        <x:v>3.276905143903849</x:v>
      </x:c>
      <x:c r="G36" s="15" t="n">
        <x:v>0.1081825517750139</x:v>
      </x:c>
      <x:c r="H36" s="15" t="n">
        <x:v>0.0099589781433873</x:v>
      </x:c>
    </x:row>
    <x:row r="37" ht="36" customHeight="1">
      <x:c r="A37" s="7" t="str">
        <x:v>MOVER 2022</x:v>
      </x:c>
      <x:c r="B37" s="7" t="str">
        <x:v>baseline_cr</x:v>
      </x:c>
      <x:c r="C37" s="7" t="str">
        <x:v>continuous_or_binary</x:v>
      </x:c>
      <x:c r="D37" s="16" t="n">
        <x:v>0.9063393892539622</x:v>
      </x:c>
      <x:c r="E37" s="16" t="n">
        <x:v>0.923413674372848</x:v>
      </x:c>
      <x:c r="F37" s="16" t="n">
        <x:v>0.9081501601192744</x:v>
      </x:c>
      <x:c r="G37" s="16" t="n">
        <x:v>0.0365513389433797</x:v>
      </x:c>
      <x:c r="H37" s="16" t="n">
        <x:v>0.0038763613929354</x:v>
      </x:c>
    </x:row>
    <x:row r="38" ht="30" customHeight="1">
      <x:c r="A38" s="3" t="str">
        <x:v>MOVER 2022</x:v>
      </x:c>
      <x:c r="B38" s="3" t="str">
        <x:v>asa</x:v>
      </x:c>
      <x:c r="C38" s="9" t="n">
        <x:v>1</x:v>
      </x:c>
      <x:c r="D38" s="15" t="str">
        <x:v>suppressed</x:v>
      </x:c>
      <x:c r="E38" s="15" t="str">
        <x:v>suppressed</x:v>
      </x:c>
      <x:c r="F38" s="15" t="str">
        <x:v>suppressed</x:v>
      </x:c>
      <x:c r="G38" s="15" t="str">
        <x:v>suppressed</x:v>
      </x:c>
      <x:c r="H38" s="15" t="str">
        <x:v>suppressed</x:v>
      </x:c>
    </x:row>
    <x:row r="39" ht="30" customHeight="1">
      <x:c r="A39" s="7" t="str">
        <x:v>MOVER 2022</x:v>
      </x:c>
      <x:c r="B39" s="7" t="str">
        <x:v>asa</x:v>
      </x:c>
      <x:c r="C39" s="10" t="n">
        <x:v>2</x:v>
      </x:c>
      <x:c r="D39" s="16" t="str">
        <x:v>suppressed</x:v>
      </x:c>
      <x:c r="E39" s="16" t="str">
        <x:v>suppressed</x:v>
      </x:c>
      <x:c r="F39" s="16" t="str">
        <x:v>suppressed</x:v>
      </x:c>
      <x:c r="G39" s="16" t="str">
        <x:v>suppressed</x:v>
      </x:c>
      <x:c r="H39" s="16" t="str">
        <x:v>suppressed</x:v>
      </x:c>
    </x:row>
    <x:row r="40" ht="30" customHeight="1">
      <x:c r="A40" s="3" t="str">
        <x:v>MOVER 2022</x:v>
      </x:c>
      <x:c r="B40" s="3" t="str">
        <x:v>asa</x:v>
      </x:c>
      <x:c r="C40" s="9" t="n">
        <x:v>3</x:v>
      </x:c>
      <x:c r="D40" s="15" t="str">
        <x:v>suppressed</x:v>
      </x:c>
      <x:c r="E40" s="15" t="str">
        <x:v>suppressed</x:v>
      </x:c>
      <x:c r="F40" s="15" t="str">
        <x:v>suppressed</x:v>
      </x:c>
      <x:c r="G40" s="15" t="str">
        <x:v>suppressed</x:v>
      </x:c>
      <x:c r="H40" s="15" t="str">
        <x:v>suppressed</x:v>
      </x:c>
    </x:row>
    <x:row r="41" ht="30" customHeight="1">
      <x:c r="A41" s="7" t="str">
        <x:v>MOVER 2022</x:v>
      </x:c>
      <x:c r="B41" s="7" t="str">
        <x:v>asa</x:v>
      </x:c>
      <x:c r="C41" s="10" t="n">
        <x:v>4</x:v>
      </x:c>
      <x:c r="D41" s="16" t="str">
        <x:v>suppressed</x:v>
      </x:c>
      <x:c r="E41" s="16" t="str">
        <x:v>suppressed</x:v>
      </x:c>
      <x:c r="F41" s="16" t="str">
        <x:v>suppressed</x:v>
      </x:c>
      <x:c r="G41" s="16" t="str">
        <x:v>suppressed</x:v>
      </x:c>
      <x:c r="H41" s="16" t="str">
        <x:v>suppressed</x:v>
      </x:c>
    </x:row>
    <x:row r="42" ht="30" customHeight="1">
      <x:c r="A42" s="3" t="str">
        <x:v>MOVER 2022</x:v>
      </x:c>
      <x:c r="B42" s="3" t="str">
        <x:v>asa</x:v>
      </x:c>
      <x:c r="C42" s="9" t="n">
        <x:v>5</x:v>
      </x:c>
      <x:c r="D42" s="15" t="str">
        <x:v>suppressed</x:v>
      </x:c>
      <x:c r="E42" s="15" t="str">
        <x:v>suppressed</x:v>
      </x:c>
      <x:c r="F42" s="15" t="str">
        <x:v>suppressed</x:v>
      </x:c>
      <x:c r="G42" s="15" t="str">
        <x:v>suppressed</x:v>
      </x:c>
      <x:c r="H42" s="15" t="str">
        <x:v>suppressed</x:v>
      </x:c>
    </x:row>
    <x:row r="43" ht="30" customHeight="1">
      <x:c r="A43" s="7" t="str">
        <x:v>MOVER 2022</x:v>
      </x:c>
      <x:c r="B43" s="7" t="str">
        <x:v>asa</x:v>
      </x:c>
      <x:c r="C43" s="10" t="n">
        <x:v>6</x:v>
      </x:c>
      <x:c r="D43" s="16" t="str">
        <x:v>&lt;0.001933</x:v>
      </x:c>
      <x:c r="E43" s="10" t="str">
        <x:v>suppressed</x:v>
      </x:c>
      <x:c r="F43" s="10" t="str">
        <x:v>suppressed</x:v>
      </x:c>
      <x:c r="G43" s="16" t="str">
        <x:v>suppressed</x:v>
      </x:c>
      <x:c r="H43" s="16" t="str">
        <x:v>suppressed</x:v>
      </x:c>
    </x:row>
    <x:row r="44" ht="36" customHeight="1">
      <x:c r="A44" s="3" t="str">
        <x:v>MOVER 2022</x:v>
      </x:c>
      <x:c r="B44" s="3" t="str">
        <x:v>surgery_category</x:v>
      </x:c>
      <x:c r="C44" s="3" t="str">
        <x:v>abdominal</x:v>
      </x:c>
      <x:c r="D44" s="15" t="str">
        <x:v>suppressed</x:v>
      </x:c>
      <x:c r="E44" s="15" t="str">
        <x:v>suppressed</x:v>
      </x:c>
      <x:c r="F44" s="15" t="str">
        <x:v>suppressed</x:v>
      </x:c>
      <x:c r="G44" s="15" t="str">
        <x:v>suppressed</x:v>
      </x:c>
      <x:c r="H44" s="15" t="str">
        <x:v>suppressed</x:v>
      </x:c>
    </x:row>
    <x:row r="45" ht="36" customHeight="1">
      <x:c r="A45" s="7" t="str">
        <x:v>MOVER 2022</x:v>
      </x:c>
      <x:c r="B45" s="7" t="str">
        <x:v>surgery_category</x:v>
      </x:c>
      <x:c r="C45" s="7" t="str">
        <x:v>breast</x:v>
      </x:c>
      <x:c r="D45" s="16" t="str">
        <x:v>&lt;0.001933</x:v>
      </x:c>
      <x:c r="E45" s="16" t="str">
        <x:v>&lt;0.002460</x:v>
      </x:c>
      <x:c r="F45" s="16" t="str">
        <x:v>suppressed</x:v>
      </x:c>
      <x:c r="G45" s="16" t="str">
        <x:v>suppressed</x:v>
      </x:c>
      <x:c r="H45" s="16" t="str">
        <x:v>suppressed</x:v>
      </x:c>
    </x:row>
    <x:row r="46" ht="36" customHeight="1">
      <x:c r="A46" s="3" t="str">
        <x:v>MOVER 2022</x:v>
      </x:c>
      <x:c r="B46" s="3" t="str">
        <x:v>surgery_category</x:v>
      </x:c>
      <x:c r="C46" s="3" t="str">
        <x:v>head_neck</x:v>
      </x:c>
      <x:c r="D46" s="15" t="str">
        <x:v>suppressed</x:v>
      </x:c>
      <x:c r="E46" s="15" t="str">
        <x:v>suppressed</x:v>
      </x:c>
      <x:c r="F46" s="15" t="str">
        <x:v>suppressed</x:v>
      </x:c>
      <x:c r="G46" s="15" t="str">
        <x:v>suppressed</x:v>
      </x:c>
      <x:c r="H46" s="15" t="str">
        <x:v>suppressed</x:v>
      </x:c>
    </x:row>
    <x:row r="47" ht="36" customHeight="1">
      <x:c r="A47" s="7" t="str">
        <x:v>MOVER 2022</x:v>
      </x:c>
      <x:c r="B47" s="7" t="str">
        <x:v>surgery_category</x:v>
      </x:c>
      <x:c r="C47" s="7" t="str">
        <x:v>neurologic</x:v>
      </x:c>
      <x:c r="D47" s="16" t="str">
        <x:v>suppressed</x:v>
      </x:c>
      <x:c r="E47" s="16" t="str">
        <x:v>suppressed</x:v>
      </x:c>
      <x:c r="F47" s="16" t="str">
        <x:v>suppressed</x:v>
      </x:c>
      <x:c r="G47" s="16" t="str">
        <x:v>suppressed</x:v>
      </x:c>
      <x:c r="H47" s="16" t="str">
        <x:v>suppressed</x:v>
      </x:c>
    </x:row>
    <x:row r="48" ht="36" customHeight="1">
      <x:c r="A48" s="3" t="str">
        <x:v>MOVER 2022</x:v>
      </x:c>
      <x:c r="B48" s="3" t="str">
        <x:v>surgery_category</x:v>
      </x:c>
      <x:c r="C48" s="3" t="str">
        <x:v>orthopedic</x:v>
      </x:c>
      <x:c r="D48" s="15" t="str">
        <x:v>suppressed</x:v>
      </x:c>
      <x:c r="E48" s="15" t="str">
        <x:v>suppressed</x:v>
      </x:c>
      <x:c r="F48" s="15" t="str">
        <x:v>suppressed</x:v>
      </x:c>
      <x:c r="G48" s="15" t="str">
        <x:v>suppressed</x:v>
      </x:c>
      <x:c r="H48" s="15" t="str">
        <x:v>suppressed</x:v>
      </x:c>
    </x:row>
    <x:row r="49" ht="36" customHeight="1">
      <x:c r="A49" s="7" t="str">
        <x:v>MOVER 2022</x:v>
      </x:c>
      <x:c r="B49" s="7" t="str">
        <x:v>surgery_category</x:v>
      </x:c>
      <x:c r="C49" s="7" t="str">
        <x:v>other</x:v>
      </x:c>
      <x:c r="D49" s="16" t="str">
        <x:v>suppressed</x:v>
      </x:c>
      <x:c r="E49" s="16" t="str">
        <x:v>suppressed</x:v>
      </x:c>
      <x:c r="F49" s="16" t="str">
        <x:v>suppressed</x:v>
      </x:c>
      <x:c r="G49" s="16" t="str">
        <x:v>suppressed</x:v>
      </x:c>
      <x:c r="H49" s="16" t="str">
        <x:v>suppressed</x:v>
      </x:c>
    </x:row>
    <x:row r="50" ht="36" customHeight="1">
      <x:c r="A50" s="3" t="str">
        <x:v>MOVER 2022</x:v>
      </x:c>
      <x:c r="B50" s="3" t="str">
        <x:v>surgery_category</x:v>
      </x:c>
      <x:c r="C50" s="3" t="str">
        <x:v>plastic</x:v>
      </x:c>
      <x:c r="D50" s="15" t="str">
        <x:v>suppressed</x:v>
      </x:c>
      <x:c r="E50" s="15" t="str">
        <x:v>suppressed</x:v>
      </x:c>
      <x:c r="F50" s="15" t="str">
        <x:v>suppressed</x:v>
      </x:c>
      <x:c r="G50" s="15" t="str">
        <x:v>suppressed</x:v>
      </x:c>
      <x:c r="H50" s="15" t="str">
        <x:v>suppressed</x:v>
      </x:c>
    </x:row>
    <x:row r="51" ht="36" customHeight="1">
      <x:c r="A51" s="7" t="str">
        <x:v>MOVER 2022</x:v>
      </x:c>
      <x:c r="B51" s="7" t="str">
        <x:v>surgery_category</x:v>
      </x:c>
      <x:c r="C51" s="7" t="str">
        <x:v>thoracic</x:v>
      </x:c>
      <x:c r="D51" s="16" t="str">
        <x:v>suppressed</x:v>
      </x:c>
      <x:c r="E51" s="16" t="str">
        <x:v>suppressed</x:v>
      </x:c>
      <x:c r="F51" s="16" t="str">
        <x:v>suppressed</x:v>
      </x:c>
      <x:c r="G51" s="16" t="str">
        <x:v>suppressed</x:v>
      </x:c>
      <x:c r="H51" s="16" t="str">
        <x:v>suppressed</x:v>
      </x:c>
    </x:row>
    <x:row r="52" ht="36" customHeight="1">
      <x:c r="A52" s="3" t="str">
        <x:v>MOVER 2022</x:v>
      </x:c>
      <x:c r="B52" s="3" t="str">
        <x:v>surgery_category</x:v>
      </x:c>
      <x:c r="C52" s="3" t="str">
        <x:v>urologic</x:v>
      </x:c>
      <x:c r="D52" s="15" t="str">
        <x:v>suppressed</x:v>
      </x:c>
      <x:c r="E52" s="15" t="str">
        <x:v>suppressed</x:v>
      </x:c>
      <x:c r="F52" s="15" t="str">
        <x:v>suppressed</x:v>
      </x:c>
      <x:c r="G52" s="15" t="str">
        <x:v>suppressed</x:v>
      </x:c>
      <x:c r="H52" s="15" t="str">
        <x:v>suppressed</x:v>
      </x:c>
    </x:row>
    <x:row r="53" ht="36" customHeight="1">
      <x:c r="A53" s="7" t="str">
        <x:v>MOVER 2022</x:v>
      </x:c>
      <x:c r="B53" s="7" t="str">
        <x:v>surgery_category</x:v>
      </x:c>
      <x:c r="C53" s="7" t="str">
        <x:v>vascular</x:v>
      </x:c>
      <x:c r="D53" s="16" t="str">
        <x:v>suppressed</x:v>
      </x:c>
      <x:c r="E53" s="16" t="str">
        <x:v>suppressed</x:v>
      </x:c>
      <x:c r="F53" s="16" t="str">
        <x:v>suppressed</x:v>
      </x:c>
      <x:c r="G53" s="16" t="str">
        <x:v>suppressed</x:v>
      </x:c>
      <x:c r="H53" s="16" t="str">
        <x:v>suppressed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9" hidden="0" customWidth="1"/>
    <x:col min="4" max="4" width="20" hidden="0" customWidth="1"/>
    <x:col min="5" max="5" width="19" hidden="0" customWidth="1"/>
    <x:col min="6" max="6" width="13" hidden="0" customWidth="1"/>
    <x:col min="7" max="7" width="13" hidden="0" customWidth="1"/>
  </x:cols>
  <x:sheetData>
    <x:row r="1" ht="64" customHeight="1">
      <x:c r="A1" s="6" t="str">
        <x:v>strategy</x:v>
      </x:c>
      <x:c r="B1" s="6" t="str">
        <x:v>metric</x:v>
      </x:c>
      <x:c r="C1" s="6" t="str">
        <x:v>estimate</x:v>
      </x:c>
      <x:c r="D1" s="6" t="str">
        <x:v>ci_lower</x:v>
      </x:c>
      <x:c r="E1" s="6" t="str">
        <x:v>ci_upper</x:v>
      </x:c>
      <x:c r="F1" s="6" t="str">
        <x:v>fixed</x:v>
      </x:c>
      <x:c r="G1" s="6" t="str">
        <x:v>replicates</x:v>
      </x:c>
    </x:row>
    <x:row r="2" ht="30" customHeight="1">
      <x:c r="A2" s="3" t="str">
        <x:v>unupdated</x:v>
      </x:c>
      <x:c r="B2" s="3" t="str">
        <x:v>update_alpha</x:v>
      </x:c>
      <x:c r="C2" s="9" t="n">
        <x:v>0</x:v>
      </x:c>
      <x:c r="D2" s="3"/>
      <x:c r="E2" s="3"/>
      <x:c r="F2" s="20" t="b">
        <x:v>1</x:v>
      </x:c>
      <x:c r="G2" s="9" t="n">
        <x:v>0</x:v>
      </x:c>
    </x:row>
    <x:row r="3" ht="30" customHeight="1">
      <x:c r="A3" s="7" t="str">
        <x:v>unupdated</x:v>
      </x:c>
      <x:c r="B3" s="7" t="str">
        <x:v>update_beta</x:v>
      </x:c>
      <x:c r="C3" s="10" t="n">
        <x:v>1</x:v>
      </x:c>
      <x:c r="D3" s="7"/>
      <x:c r="E3" s="7"/>
      <x:c r="F3" s="21" t="b">
        <x:v>1</x:v>
      </x:c>
      <x:c r="G3" s="10" t="n">
        <x:v>0</x:v>
      </x:c>
    </x:row>
    <x:row r="4" ht="36" customHeight="1">
      <x:c r="A4" s="3" t="str">
        <x:v>unupdated</x:v>
      </x:c>
      <x:c r="B4" s="3" t="str">
        <x:v>oe_ratio</x:v>
      </x:c>
      <x:c r="C4" s="15" t="n">
        <x:v>1.4867954900449432</x:v>
      </x:c>
      <x:c r="D4" s="15" t="n">
        <x:v>1.2958473401719914</x:v>
      </x:c>
      <x:c r="E4" s="15" t="n">
        <x:v>1.6691517057731171</x:v>
      </x:c>
      <x:c r="F4" s="20" t="b">
        <x:v>0</x:v>
      </x:c>
      <x:c r="G4" s="9" t="n">
        <x:v>1000</x:v>
      </x:c>
    </x:row>
    <x:row r="5" ht="36" customHeight="1">
      <x:c r="A5" s="7" t="str">
        <x:v>unupdated</x:v>
      </x:c>
      <x:c r="B5" s="7" t="str">
        <x:v>calibration_slope</x:v>
      </x:c>
      <x:c r="C5" s="16" t="n">
        <x:v>0.788007599046868</x:v>
      </x:c>
      <x:c r="D5" s="16" t="n">
        <x:v>0.6276977053320753</x:v>
      </x:c>
      <x:c r="E5" s="16" t="n">
        <x:v>0.9774239975892032</x:v>
      </x:c>
      <x:c r="F5" s="21" t="b">
        <x:v>0</x:v>
      </x:c>
      <x:c r="G5" s="10" t="n">
        <x:v>1000</x:v>
      </x:c>
    </x:row>
    <x:row r="6" ht="36" customHeight="1">
      <x:c r="A6" s="3" t="str">
        <x:v>unupdated</x:v>
      </x:c>
      <x:c r="B6" s="3" t="str">
        <x:v>auroc</x:v>
      </x:c>
      <x:c r="C6" s="15" t="n">
        <x:v>0.6737184414934936</x:v>
      </x:c>
      <x:c r="D6" s="15" t="n">
        <x:v>0.6325981421036303</x:v>
      </x:c>
      <x:c r="E6" s="15" t="n">
        <x:v>0.7168306550636632</x:v>
      </x:c>
      <x:c r="F6" s="20" t="b">
        <x:v>0</x:v>
      </x:c>
      <x:c r="G6" s="9" t="n">
        <x:v>1000</x:v>
      </x:c>
    </x:row>
    <x:row r="7" ht="36" customHeight="1">
      <x:c r="A7" s="7" t="str">
        <x:v>unupdated</x:v>
      </x:c>
      <x:c r="B7" s="7" t="str">
        <x:v>brier</x:v>
      </x:c>
      <x:c r="C7" s="16" t="n">
        <x:v>0.0950786115412393</x:v>
      </x:c>
      <x:c r="D7" s="16" t="n">
        <x:v>0.0849610630440507</x:v>
      </x:c>
      <x:c r="E7" s="16" t="n">
        <x:v>0.1052002021776243</x:v>
      </x:c>
      <x:c r="F7" s="21" t="b">
        <x:v>0</x:v>
      </x:c>
      <x:c r="G7" s="10" t="n">
        <x:v>1000</x:v>
      </x:c>
    </x:row>
    <x:row r="8" ht="36" customHeight="1">
      <x:c r="A8" s="3" t="str">
        <x:v>complete_case</x:v>
      </x:c>
      <x:c r="B8" s="3" t="str">
        <x:v>update_alpha</x:v>
      </x:c>
      <x:c r="C8" s="15" t="n">
        <x:v>0.1526989036600622</x:v>
      </x:c>
      <x:c r="D8" s="15" t="n">
        <x:v>-0.2859004673744812</x:v>
      </x:c>
      <x:c r="E8" s="15" t="n">
        <x:v>0.5801082614347419</x:v>
      </x:c>
      <x:c r="F8" s="20" t="b">
        <x:v>0</x:v>
      </x:c>
      <x:c r="G8" s="9" t="n">
        <x:v>1000</x:v>
      </x:c>
    </x:row>
    <x:row r="9" ht="36" customHeight="1">
      <x:c r="A9" s="7" t="str">
        <x:v>complete_case</x:v>
      </x:c>
      <x:c r="B9" s="7" t="str">
        <x:v>update_beta</x:v>
      </x:c>
      <x:c r="C9" s="16" t="n">
        <x:v>0.8456617538669272</x:v>
      </x:c>
      <x:c r="D9" s="16" t="n">
        <x:v>0.6690216629909297</x:v>
      </x:c>
      <x:c r="E9" s="16" t="n">
        <x:v>1.0266945780624732</x:v>
      </x:c>
      <x:c r="F9" s="21" t="b">
        <x:v>0</x:v>
      </x:c>
      <x:c r="G9" s="10" t="n">
        <x:v>1000</x:v>
      </x:c>
    </x:row>
    <x:row r="10" ht="36" customHeight="1">
      <x:c r="A10" s="3" t="str">
        <x:v>complete_case</x:v>
      </x:c>
      <x:c r="B10" s="3" t="str">
        <x:v>oe_ratio</x:v>
      </x:c>
      <x:c r="C10" s="15" t="n">
        <x:v>0.9669139804255624</x:v>
      </x:c>
      <x:c r="D10" s="15" t="n">
        <x:v>0.8256956308248292</x:v>
      </x:c>
      <x:c r="E10" s="15" t="n">
        <x:v>1.1218591289518902</x:v>
      </x:c>
      <x:c r="F10" s="20" t="b">
        <x:v>0</x:v>
      </x:c>
      <x:c r="G10" s="9" t="n">
        <x:v>1000</x:v>
      </x:c>
    </x:row>
    <x:row r="11" ht="36" customHeight="1">
      <x:c r="A11" s="7" t="str">
        <x:v>complete_case</x:v>
      </x:c>
      <x:c r="B11" s="7" t="str">
        <x:v>calibration_slope</x:v>
      </x:c>
      <x:c r="C11" s="16" t="n">
        <x:v>0.9318236226760566</x:v>
      </x:c>
      <x:c r="D11" s="16" t="n">
        <x:v>0.7219139839025525</x:v>
      </x:c>
      <x:c r="E11" s="16" t="n">
        <x:v>1.2371220915543717</x:v>
      </x:c>
      <x:c r="F11" s="21" t="b">
        <x:v>0</x:v>
      </x:c>
      <x:c r="G11" s="10" t="n">
        <x:v>1000</x:v>
      </x:c>
    </x:row>
    <x:row r="12" ht="36" customHeight="1">
      <x:c r="A12" s="3" t="str">
        <x:v>complete_case</x:v>
      </x:c>
      <x:c r="B12" s="3" t="str">
        <x:v>auroc</x:v>
      </x:c>
      <x:c r="C12" s="15" t="n">
        <x:v>0.6737184414934936</x:v>
      </x:c>
      <x:c r="D12" s="15" t="n">
        <x:v>0.6325981421036303</x:v>
      </x:c>
      <x:c r="E12" s="15" t="n">
        <x:v>0.7168306550636632</x:v>
      </x:c>
      <x:c r="F12" s="20" t="b">
        <x:v>0</x:v>
      </x:c>
      <x:c r="G12" s="9" t="n">
        <x:v>1000</x:v>
      </x:c>
    </x:row>
    <x:row r="13" ht="36" customHeight="1">
      <x:c r="A13" s="7" t="str">
        <x:v>complete_case</x:v>
      </x:c>
      <x:c r="B13" s="7" t="str">
        <x:v>brier</x:v>
      </x:c>
      <x:c r="C13" s="16" t="n">
        <x:v>0.093623893647576</x:v>
      </x:c>
      <x:c r="D13" s="16" t="n">
        <x:v>0.0844463297759718</x:v>
      </x:c>
      <x:c r="E13" s="16" t="n">
        <x:v>0.1031713797324392</x:v>
      </x:c>
      <x:c r="F13" s="21" t="b">
        <x:v>0</x:v>
      </x:c>
      <x:c r="G13" s="10" t="n">
        <x:v>1000</x:v>
      </x:c>
    </x:row>
    <x:row r="14" ht="36" customHeight="1">
      <x:c r="A14" s="3" t="str">
        <x:v>IPW</x:v>
      </x:c>
      <x:c r="B14" s="3" t="str">
        <x:v>update_alpha</x:v>
      </x:c>
      <x:c r="C14" s="15" t="n">
        <x:v>0.2065683227528089</x:v>
      </x:c>
      <x:c r="D14" s="15" t="n">
        <x:v>-0.2393566409390751</x:v>
      </x:c>
      <x:c r="E14" s="15" t="n">
        <x:v>0.644483898026365</x:v>
      </x:c>
      <x:c r="F14" s="20" t="b">
        <x:v>0</x:v>
      </x:c>
      <x:c r="G14" s="9" t="n">
        <x:v>1000</x:v>
      </x:c>
    </x:row>
    <x:row r="15" ht="36" customHeight="1">
      <x:c r="A15" s="7" t="str">
        <x:v>IPW</x:v>
      </x:c>
      <x:c r="B15" s="7" t="str">
        <x:v>update_beta</x:v>
      </x:c>
      <x:c r="C15" s="16" t="n">
        <x:v>0.8909563129251556</x:v>
      </x:c>
      <x:c r="D15" s="16" t="n">
        <x:v>0.7152888864175401</x:v>
      </x:c>
      <x:c r="E15" s="16" t="n">
        <x:v>1.0735522947715348</x:v>
      </x:c>
      <x:c r="F15" s="21" t="b">
        <x:v>0</x:v>
      </x:c>
      <x:c r="G15" s="10" t="n">
        <x:v>1000</x:v>
      </x:c>
    </x:row>
    <x:row r="16" ht="36" customHeight="1">
      <x:c r="A16" s="3" t="str">
        <x:v>IPW</x:v>
      </x:c>
      <x:c r="B16" s="3" t="str">
        <x:v>oe_ratio</x:v>
      </x:c>
      <x:c r="C16" s="15" t="n">
        <x:v>1.0118261550966838</x:v>
      </x:c>
      <x:c r="D16" s="15" t="n">
        <x:v>0.8664868386107794</x:v>
      </x:c>
      <x:c r="E16" s="15" t="n">
        <x:v>1.1768002823793169</x:v>
      </x:c>
      <x:c r="F16" s="20" t="b">
        <x:v>0</x:v>
      </x:c>
      <x:c r="G16" s="9" t="n">
        <x:v>1000</x:v>
      </x:c>
    </x:row>
    <x:row r="17" ht="36" customHeight="1">
      <x:c r="A17" s="7" t="str">
        <x:v>IPW</x:v>
      </x:c>
      <x:c r="B17" s="7" t="str">
        <x:v>calibration_slope</x:v>
      </x:c>
      <x:c r="C17" s="16" t="n">
        <x:v>0.8844514457276924</x:v>
      </x:c>
      <x:c r="D17" s="16" t="n">
        <x:v>0.6810467380910483</x:v>
      </x:c>
      <x:c r="E17" s="16" t="n">
        <x:v>1.1547053538822636</x:v>
      </x:c>
      <x:c r="F17" s="21" t="b">
        <x:v>0</x:v>
      </x:c>
      <x:c r="G17" s="10" t="n">
        <x:v>1000</x:v>
      </x:c>
    </x:row>
    <x:row r="18" ht="36" customHeight="1">
      <x:c r="A18" s="3" t="str">
        <x:v>IPW</x:v>
      </x:c>
      <x:c r="B18" s="3" t="str">
        <x:v>auroc</x:v>
      </x:c>
      <x:c r="C18" s="15" t="n">
        <x:v>0.6737184414934936</x:v>
      </x:c>
      <x:c r="D18" s="15" t="n">
        <x:v>0.6325981421036303</x:v>
      </x:c>
      <x:c r="E18" s="15" t="n">
        <x:v>0.7168306550636632</x:v>
      </x:c>
      <x:c r="F18" s="20" t="b">
        <x:v>0</x:v>
      </x:c>
      <x:c r="G18" s="9" t="n">
        <x:v>1000</x:v>
      </x:c>
    </x:row>
    <x:row r="19" ht="36" customHeight="1">
      <x:c r="A19" s="7" t="str">
        <x:v>IPW</x:v>
      </x:c>
      <x:c r="B19" s="7" t="str">
        <x:v>brier</x:v>
      </x:c>
      <x:c r="C19" s="16" t="n">
        <x:v>0.0936844148369695</x:v>
      </x:c>
      <x:c r="D19" s="16" t="n">
        <x:v>0.084477641645862</x:v>
      </x:c>
      <x:c r="E19" s="16" t="n">
        <x:v>0.1034010824037873</x:v>
      </x:c>
      <x:c r="F19" s="21" t="b">
        <x:v>0</x:v>
      </x:c>
      <x:c r="G19" s="10" t="n">
        <x:v>1000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23" hidden="0" customWidth="1"/>
    <x:col min="4" max="4" width="20" hidden="0" customWidth="1"/>
    <x:col min="5" max="5" width="19" hidden="0" customWidth="1"/>
    <x:col min="6" max="6" width="13" hidden="0" customWidth="1"/>
  </x:cols>
  <x:sheetData>
    <x:row r="1" ht="64" customHeight="1">
      <x:c r="A1" s="6" t="str">
        <x:v>contrast</x:v>
      </x:c>
      <x:c r="B1" s="6" t="str">
        <x:v>metric</x:v>
      </x:c>
      <x:c r="C1" s="6" t="str">
        <x:v>estimate</x:v>
      </x:c>
      <x:c r="D1" s="6" t="str">
        <x:v>ci_lower</x:v>
      </x:c>
      <x:c r="E1" s="6" t="str">
        <x:v>ci_upper</x:v>
      </x:c>
      <x:c r="F1" s="6" t="str">
        <x:v>replicates</x:v>
      </x:c>
    </x:row>
    <x:row r="2" ht="36" customHeight="1">
      <x:c r="A2" s="3" t="str">
        <x:v>IPW minus complete-case recalibration</x:v>
      </x:c>
      <x:c r="B2" s="3" t="str">
        <x:v>oe_ratio</x:v>
      </x:c>
      <x:c r="C2" s="15" t="n">
        <x:v>0.0449121746711214</x:v>
      </x:c>
      <x:c r="D2" s="15" t="n">
        <x:v>0.0199138534423658</x:v>
      </x:c>
      <x:c r="E2" s="15" t="n">
        <x:v>0.0708787402588197</x:v>
      </x:c>
      <x:c r="F2" s="9" t="n">
        <x:v>1000</x:v>
      </x:c>
    </x:row>
    <x:row r="3" ht="36" customHeight="1">
      <x:c r="A3" s="7" t="str">
        <x:v>IPW minus complete-case recalibration</x:v>
      </x:c>
      <x:c r="B3" s="7" t="str">
        <x:v>calibration_slope</x:v>
      </x:c>
      <x:c r="C3" s="16" t="n">
        <x:v>-0.0473721769483641</x:v>
      </x:c>
      <x:c r="D3" s="16" t="n">
        <x:v>-0.0976615731738935</x:v>
      </x:c>
      <x:c r="E3" s="16" t="n">
        <x:v>-0.01376783946704</x:v>
      </x:c>
      <x:c r="F3" s="10" t="n">
        <x:v>1000</x:v>
      </x:c>
    </x:row>
    <x:row r="4" ht="36" customHeight="1">
      <x:c r="A4" s="3" t="str">
        <x:v>IPW minus complete-case recalibration</x:v>
      </x:c>
      <x:c r="B4" s="3" t="str">
        <x:v>auroc</x:v>
      </x:c>
      <x:c r="C4" s="9" t="n">
        <x:v>0</x:v>
      </x:c>
      <x:c r="D4" s="9" t="n">
        <x:v>0</x:v>
      </x:c>
      <x:c r="E4" s="9" t="n">
        <x:v>0</x:v>
      </x:c>
      <x:c r="F4" s="9" t="n">
        <x:v>1000</x:v>
      </x:c>
    </x:row>
    <x:row r="5" ht="36" customHeight="1">
      <x:c r="A5" s="7" t="str">
        <x:v>IPW minus complete-case recalibration</x:v>
      </x:c>
      <x:c r="B5" s="7" t="str">
        <x:v>brier</x:v>
      </x:c>
      <x:c r="C5" s="16" t="n">
        <x:v>0.00006052118939349482</x:v>
      </x:c>
      <x:c r="D5" s="16" t="n">
        <x:v>-0.0001982773581817</x:v>
      </x:c>
      <x:c r="E5" s="16" t="n">
        <x:v>0.0003050371967961</x:v>
      </x:c>
      <x:c r="F5" s="10" t="n">
        <x:v>1000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48" hidden="0" customWidth="1"/>
    <x:col min="3" max="3" width="48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48" hidden="0" customWidth="1"/>
    <x:col min="9" max="9" width="21" hidden="0" customWidth="1"/>
    <x:col min="10" max="10" width="27" hidden="0" customWidth="1"/>
    <x:col min="11" max="11" width="48" hidden="0" customWidth="1"/>
  </x:cols>
  <x:sheetData>
    <x:row r="1" ht="64" customHeight="1">
      <x:c r="A1" s="6" t="str">
        <x:v>endpoint</x:v>
      </x:c>
      <x:c r="B1" s="6" t="str">
        <x:v>estimand</x:v>
      </x:c>
      <x:c r="C1" s="6" t="str">
        <x:v>model</x:v>
      </x:c>
      <x:c r="D1" s="6" t="str">
        <x:v>metric</x:v>
      </x:c>
      <x:c r="E1" s="6" t="str">
        <x:v>estimate</x:v>
      </x:c>
      <x:c r="F1" s="6" t="str">
        <x:v>ci_lower</x:v>
      </x:c>
      <x:c r="G1" s="6" t="str">
        <x:v>ci_upper</x:v>
      </x:c>
      <x:c r="H1" s="6" t="str">
        <x:v>estimator_component</x:v>
      </x:c>
      <x:c r="I1" s="6" t="str">
        <x:v>bootstrap_replicates</x:v>
      </x:c>
      <x:c r="J1" s="6" t="str">
        <x:v>bootstrap_unit</x:v>
      </x:c>
      <x:c r="K1" s="6" t="str">
        <x:v>canonical_source</x:v>
      </x:c>
    </x:row>
    <x:row r="2" ht="50" customHeight="1">
      <x:c r="A2" s="3" t="str">
        <x:v>creatinine-defined AKI through discharge or postoperative day 7</x:v>
      </x:c>
      <x:c r="B2" s="3" t="str">
        <x:v>hybrid AIPW/IPW performance among all baseline-eligible MOVER 2022 patients under MAR conditional on measured pre-prediction variables</x:v>
      </x:c>
      <x:c r="C2" s="3" t="str">
        <x:v>expanded-IPW source development plus expanded-IPW MOVER 2021 logistic recalibration</x:v>
      </x:c>
      <x:c r="D2" s="3" t="str">
        <x:v>events</x:v>
      </x:c>
      <x:c r="E2" s="15" t="n">
        <x:v>288.77333219473593</x:v>
      </x:c>
      <x:c r="F2" s="15" t="n">
        <x:v>256.7431400485564</x:v>
      </x:c>
      <x:c r="G2" s="15" t="n">
        <x:v>321.0625021480104</x:v>
      </x:c>
      <x:c r="H2" s="3" t="str">
        <x:v>AIPW</x:v>
      </x:c>
      <x:c r="I2" s="9" t="n">
        <x:v>1000</x:v>
      </x:c>
      <x:c r="J2" s="3" t="str">
        <x:v>retained patient/operation</x:v>
      </x:c>
      <x:c r="K2" s="3" t="str">
        <x:v>data/processed/canonical_bootstrap_distribution_v32.parquet</x:v>
      </x:c>
    </x:row>
    <x:row r="3" ht="50" customHeight="1">
      <x:c r="A3" s="7" t="str">
        <x:v>creatinine-defined AKI through discharge or postoperative day 7</x:v>
      </x:c>
      <x:c r="B3" s="7" t="str">
        <x:v>hybrid AIPW/IPW performance among all baseline-eligible MOVER 2022 patients under MAR conditional on measured pre-prediction variables</x:v>
      </x:c>
      <x:c r="C3" s="7" t="str">
        <x:v>expanded-IPW source development plus expanded-IPW MOVER 2021 logistic recalibration</x:v>
      </x:c>
      <x:c r="D3" s="7" t="str">
        <x:v>event_rate</x:v>
      </x:c>
      <x:c r="E3" s="16" t="n">
        <x:v>0.1116247901796428</x:v>
      </x:c>
      <x:c r="F3" s="16" t="n">
        <x:v>0.0992435794544091</x:v>
      </x:c>
      <x:c r="G3" s="16" t="n">
        <x:v>0.1241061082906882</x:v>
      </x:c>
      <x:c r="H3" s="7" t="str">
        <x:v>AIPW</x:v>
      </x:c>
      <x:c r="I3" s="10" t="n">
        <x:v>1000</x:v>
      </x:c>
      <x:c r="J3" s="7" t="str">
        <x:v>retained patient/operation</x:v>
      </x:c>
      <x:c r="K3" s="7" t="str">
        <x:v>data/processed/canonical_bootstrap_distribution_v32.parquet</x:v>
      </x:c>
    </x:row>
    <x:row r="4" ht="50" customHeight="1">
      <x:c r="A4" s="3" t="str">
        <x:v>creatinine-defined AKI through discharge or postoperative day 7</x:v>
      </x:c>
      <x:c r="B4" s="3" t="str">
        <x:v>hybrid AIPW/IPW performance among all baseline-eligible MOVER 2022 patients under MAR conditional on measured pre-prediction variables</x:v>
      </x:c>
      <x:c r="C4" s="3" t="str">
        <x:v>expanded-IPW source development plus expanded-IPW MOVER 2021 logistic recalibration</x:v>
      </x:c>
      <x:c r="D4" s="3" t="str">
        <x:v>predicted_mean</x:v>
      </x:c>
      <x:c r="E4" s="15" t="n">
        <x:v>0.1103201272445627</x:v>
      </x:c>
      <x:c r="F4" s="15" t="n">
        <x:v>0.0987046075095676</x:v>
      </x:c>
      <x:c r="G4" s="15" t="n">
        <x:v>0.1224004840001999</x:v>
      </x:c>
      <x:c r="H4" s="3" t="str">
        <x:v>exact all-eligible predictions</x:v>
      </x:c>
      <x:c r="I4" s="9" t="n">
        <x:v>1000</x:v>
      </x:c>
      <x:c r="J4" s="3" t="str">
        <x:v>retained patient/operation</x:v>
      </x:c>
      <x:c r="K4" s="3" t="str">
        <x:v>data/processed/canonical_bootstrap_distribution_v32.parquet</x:v>
      </x:c>
    </x:row>
    <x:row r="5" ht="50" customHeight="1">
      <x:c r="A5" s="7" t="str">
        <x:v>creatinine-defined AKI through discharge or postoperative day 7</x:v>
      </x:c>
      <x:c r="B5" s="7" t="str">
        <x:v>hybrid AIPW/IPW performance among all baseline-eligible MOVER 2022 patients under MAR conditional on measured pre-prediction variables</x:v>
      </x:c>
      <x:c r="C5" s="7" t="str">
        <x:v>expanded-IPW source development plus expanded-IPW MOVER 2021 logistic recalibration</x:v>
      </x:c>
      <x:c r="D5" s="7" t="str">
        <x:v>oe_ratio</x:v>
      </x:c>
      <x:c r="E5" s="16" t="n">
        <x:v>1.0118261550966838</x:v>
      </x:c>
      <x:c r="F5" s="16" t="n">
        <x:v>0.8664868386107794</x:v>
      </x:c>
      <x:c r="G5" s="16" t="n">
        <x:v>1.1768002823793169</x:v>
      </x:c>
      <x:c r="H5" s="7" t="str">
        <x:v>plug-in ratio of AIPW-estimated event total to exact predicted-event total</x:v>
      </x:c>
      <x:c r="I5" s="10" t="n">
        <x:v>1000</x:v>
      </x:c>
      <x:c r="J5" s="7" t="str">
        <x:v>retained patient/operation</x:v>
      </x:c>
      <x:c r="K5" s="7" t="str">
        <x:v>data/processed/canonical_bootstrap_distribution_v32.parquet</x:v>
      </x:c>
    </x:row>
    <x:row r="6" ht="50" customHeight="1">
      <x:c r="A6" s="3" t="str">
        <x:v>creatinine-defined AKI through discharge or postoperative day 7</x:v>
      </x:c>
      <x:c r="B6" s="3" t="str">
        <x:v>hybrid AIPW/IPW performance among all baseline-eligible MOVER 2022 patients under MAR conditional on measured pre-prediction variables</x:v>
      </x:c>
      <x:c r="C6" s="3" t="str">
        <x:v>expanded-IPW source development plus expanded-IPW MOVER 2021 logistic recalibration</x:v>
      </x:c>
      <x:c r="D6" s="3" t="str">
        <x:v>calibration_intercept</x:v>
      </x:c>
      <x:c r="E6" s="15" t="n">
        <x:v>0.0050264441923814</x:v>
      </x:c>
      <x:c r="F6" s="15" t="n">
        <x:v>-0.1890252692669252</x:v>
      </x:c>
      <x:c r="G6" s="15" t="n">
        <x:v>0.1875516505154407</x:v>
      </x:c>
      <x:c r="H6" s="3" t="str">
        <x:v>1/99 truncated expanded IPW</x:v>
      </x:c>
      <x:c r="I6" s="9" t="n">
        <x:v>1000</x:v>
      </x:c>
      <x:c r="J6" s="3" t="str">
        <x:v>retained patient/operation</x:v>
      </x:c>
      <x:c r="K6" s="3" t="str">
        <x:v>data/processed/canonical_bootstrap_distribution_v32.parquet</x:v>
      </x:c>
    </x:row>
    <x:row r="7" ht="50" customHeight="1">
      <x:c r="A7" s="7" t="str">
        <x:v>creatinine-defined AKI through discharge or postoperative day 7</x:v>
      </x:c>
      <x:c r="B7" s="7" t="str">
        <x:v>hybrid AIPW/IPW performance among all baseline-eligible MOVER 2022 patients under MAR conditional on measured pre-prediction variables</x:v>
      </x:c>
      <x:c r="C7" s="7" t="str">
        <x:v>expanded-IPW source development plus expanded-IPW MOVER 2021 logistic recalibration</x:v>
      </x:c>
      <x:c r="D7" s="7" t="str">
        <x:v>calibration_joint_intercept</x:v>
      </x:c>
      <x:c r="E7" s="16" t="n">
        <x:v>-0.2176516506247723</x:v>
      </x:c>
      <x:c r="F7" s="16" t="n">
        <x:v>-0.622999341246264</x:v>
      </x:c>
      <x:c r="G7" s="16" t="n">
        <x:v>0.2963723709289743</x:v>
      </x:c>
      <x:c r="H7" s="7" t="str">
        <x:v>1/99 truncated expanded IPW</x:v>
      </x:c>
      <x:c r="I7" s="10" t="n">
        <x:v>1000</x:v>
      </x:c>
      <x:c r="J7" s="7" t="str">
        <x:v>retained patient/operation</x:v>
      </x:c>
      <x:c r="K7" s="7" t="str">
        <x:v>data/processed/canonical_bootstrap_distribution_v32.parquet</x:v>
      </x:c>
    </x:row>
    <x:row r="8" ht="50" customHeight="1">
      <x:c r="A8" s="3" t="str">
        <x:v>creatinine-defined AKI through discharge or postoperative day 7</x:v>
      </x:c>
      <x:c r="B8" s="3" t="str">
        <x:v>hybrid AIPW/IPW performance among all baseline-eligible MOVER 2022 patients under MAR conditional on measured pre-prediction variables</x:v>
      </x:c>
      <x:c r="C8" s="3" t="str">
        <x:v>expanded-IPW source development plus expanded-IPW MOVER 2021 logistic recalibration</x:v>
      </x:c>
      <x:c r="D8" s="3" t="str">
        <x:v>calibration_slope</x:v>
      </x:c>
      <x:c r="E8" s="15" t="n">
        <x:v>0.8844514457276924</x:v>
      </x:c>
      <x:c r="F8" s="15" t="n">
        <x:v>0.6810467380910483</x:v>
      </x:c>
      <x:c r="G8" s="15" t="n">
        <x:v>1.1547053538822636</x:v>
      </x:c>
      <x:c r="H8" s="3" t="str">
        <x:v>1/99 truncated expanded IPW</x:v>
      </x:c>
      <x:c r="I8" s="9" t="n">
        <x:v>1000</x:v>
      </x:c>
      <x:c r="J8" s="3" t="str">
        <x:v>retained patient/operation</x:v>
      </x:c>
      <x:c r="K8" s="3" t="str">
        <x:v>data/processed/canonical_bootstrap_distribution_v32.parquet</x:v>
      </x:c>
    </x:row>
    <x:row r="9" ht="50" customHeight="1">
      <x:c r="A9" s="7" t="str">
        <x:v>creatinine-defined AKI through discharge or postoperative day 7</x:v>
      </x:c>
      <x:c r="B9" s="7" t="str">
        <x:v>hybrid AIPW/IPW performance among all baseline-eligible MOVER 2022 patients under MAR conditional on measured pre-prediction variables</x:v>
      </x:c>
      <x:c r="C9" s="7" t="str">
        <x:v>expanded-IPW source development plus expanded-IPW MOVER 2021 logistic recalibration</x:v>
      </x:c>
      <x:c r="D9" s="7" t="str">
        <x:v>auroc</x:v>
      </x:c>
      <x:c r="E9" s="16" t="n">
        <x:v>0.6737184414934936</x:v>
      </x:c>
      <x:c r="F9" s="16" t="n">
        <x:v>0.6325981421036303</x:v>
      </x:c>
      <x:c r="G9" s="16" t="n">
        <x:v>0.7168306550636632</x:v>
      </x:c>
      <x:c r="H9" s="7" t="str">
        <x:v>1/99 truncated expanded IPW</x:v>
      </x:c>
      <x:c r="I9" s="10" t="n">
        <x:v>1000</x:v>
      </x:c>
      <x:c r="J9" s="7" t="str">
        <x:v>retained patient/operation</x:v>
      </x:c>
      <x:c r="K9" s="7" t="str">
        <x:v>data/processed/canonical_bootstrap_distribution_v32.parquet</x:v>
      </x:c>
    </x:row>
    <x:row r="10" ht="50" customHeight="1">
      <x:c r="A10" s="3" t="str">
        <x:v>creatinine-defined AKI through discharge or postoperative day 7</x:v>
      </x:c>
      <x:c r="B10" s="3" t="str">
        <x:v>hybrid AIPW/IPW performance among all baseline-eligible MOVER 2022 patients under MAR conditional on measured pre-prediction variables</x:v>
      </x:c>
      <x:c r="C10" s="3" t="str">
        <x:v>expanded-IPW source development plus expanded-IPW MOVER 2021 logistic recalibration</x:v>
      </x:c>
      <x:c r="D10" s="3" t="str">
        <x:v>auprc</x:v>
      </x:c>
      <x:c r="E10" s="15" t="n">
        <x:v>0.2408455862429234</x:v>
      </x:c>
      <x:c r="F10" s="15" t="n">
        <x:v>0.2010707441355079</x:v>
      </x:c>
      <x:c r="G10" s="15" t="n">
        <x:v>0.2929496058280951</x:v>
      </x:c>
      <x:c r="H10" s="3" t="str">
        <x:v>1/99 truncated expanded IPW</x:v>
      </x:c>
      <x:c r="I10" s="9" t="n">
        <x:v>1000</x:v>
      </x:c>
      <x:c r="J10" s="3" t="str">
        <x:v>retained patient/operation</x:v>
      </x:c>
      <x:c r="K10" s="3" t="str">
        <x:v>data/processed/canonical_bootstrap_distribution_v32.parquet</x:v>
      </x:c>
    </x:row>
    <x:row r="11" ht="50" customHeight="1">
      <x:c r="A11" s="7" t="str">
        <x:v>creatinine-defined AKI through discharge or postoperative day 7</x:v>
      </x:c>
      <x:c r="B11" s="7" t="str">
        <x:v>hybrid AIPW/IPW performance among all baseline-eligible MOVER 2022 patients under MAR conditional on measured pre-prediction variables</x:v>
      </x:c>
      <x:c r="C11" s="7" t="str">
        <x:v>expanded-IPW source development plus expanded-IPW MOVER 2021 logistic recalibration</x:v>
      </x:c>
      <x:c r="D11" s="7" t="str">
        <x:v>brier</x:v>
      </x:c>
      <x:c r="E11" s="16" t="n">
        <x:v>0.0936844148369695</x:v>
      </x:c>
      <x:c r="F11" s="16" t="n">
        <x:v>0.084477641645862</x:v>
      </x:c>
      <x:c r="G11" s="16" t="n">
        <x:v>0.1034010824037873</x:v>
      </x:c>
      <x:c r="H11" s="7" t="str">
        <x:v>AIPW</x:v>
      </x:c>
      <x:c r="I11" s="10" t="n">
        <x:v>1000</x:v>
      </x:c>
      <x:c r="J11" s="7" t="str">
        <x:v>retained patient/operation</x:v>
      </x:c>
      <x:c r="K11" s="7" t="str">
        <x:v>data/processed/canonical_bootstrap_distribution_v32.parquet</x:v>
      </x:c>
    </x:row>
    <x:row r="12" ht="50" customHeight="1">
      <x:c r="A12" s="3" t="str">
        <x:v>creatinine-defined AKI through discharge or postoperative day 7</x:v>
      </x:c>
      <x:c r="B12" s="3" t="str">
        <x:v>hybrid AIPW/IPW performance among all baseline-eligible MOVER 2022 patients under MAR conditional on measured pre-prediction variables</x:v>
      </x:c>
      <x:c r="C12" s="3" t="str">
        <x:v>expanded-IPW source development plus expanded-IPW MOVER 2021 logistic recalibration</x:v>
      </x:c>
      <x:c r="D12" s="3" t="str">
        <x:v>brier_skill_score</x:v>
      </x:c>
      <x:c r="E12" s="15" t="n">
        <x:v>0.0552644414710283</x:v>
      </x:c>
      <x:c r="F12" s="15" t="n">
        <x:v>0.0236519734256522</x:v>
      </x:c>
      <x:c r="G12" s="15" t="n">
        <x:v>0.0863939647672014</x:v>
      </x:c>
      <x:c r="H12" s="3" t="str">
        <x:v>AIPW</x:v>
      </x:c>
      <x:c r="I12" s="9" t="n">
        <x:v>1000</x:v>
      </x:c>
      <x:c r="J12" s="3" t="str">
        <x:v>retained patient/operation</x:v>
      </x:c>
      <x:c r="K12" s="3" t="str">
        <x:v>data/processed/canonical_bootstrap_distribution_v32.parquet</x:v>
      </x:c>
    </x:row>
    <x:row r="13" ht="50" customHeight="1">
      <x:c r="A13" s="7" t="str">
        <x:v>creatinine-defined AKI through discharge or postoperative day 7</x:v>
      </x:c>
      <x:c r="B13" s="7" t="str">
        <x:v>hybrid AIPW/IPW performance among all baseline-eligible MOVER 2022 patients under MAR conditional on measured pre-prediction variables</x:v>
      </x:c>
      <x:c r="C13" s="7" t="str">
        <x:v>expanded-IPW source development plus expanded-IPW MOVER 2021 logistic recalibration</x:v>
      </x:c>
      <x:c r="D13" s="7" t="str">
        <x:v>grouped_absolute_calibration_error_10q</x:v>
      </x:c>
      <x:c r="E13" s="16" t="n">
        <x:v>0.016299832478097</x:v>
      </x:c>
      <x:c r="F13" s="16" t="n">
        <x:v>0.0127480865051422</x:v>
      </x:c>
      <x:c r="G13" s="16" t="n">
        <x:v>0.0340866501652579</x:v>
      </x:c>
      <x:c r="H13" s="7" t="str">
        <x:v>1/99 truncated expanded IPW</x:v>
      </x:c>
      <x:c r="I13" s="10" t="n">
        <x:v>1000</x:v>
      </x:c>
      <x:c r="J13" s="7" t="str">
        <x:v>retained patient/operation</x:v>
      </x:c>
      <x:c r="K13" s="7" t="str">
        <x:v>data/processed/canonical_bootstrap_distribution_v32.parquet</x:v>
      </x:c>
    </x:row>
    <x:row r="14" ht="64" customHeight="1">
      <x:c r="A14" s="3" t="str">
        <x:v>creatinine-defined AKI through discharge or postoperative day 7</x:v>
      </x:c>
      <x:c r="B14" s="3" t="str">
        <x:v>1/99 truncated-weight approximation to logistic recalibration parameters among all baseline-eligible MOVER 2021 patients under MAR conditional on measured pre-prediction variables</x:v>
      </x:c>
      <x:c r="C14" s="3" t="str">
        <x:v>expanded-IPW source development plus expanded-IPW MOVER 2021 logistic recalibration</x:v>
      </x:c>
      <x:c r="D14" s="3" t="str">
        <x:v>update_alpha</x:v>
      </x:c>
      <x:c r="E14" s="15" t="n">
        <x:v>0.2065683227528089</x:v>
      </x:c>
      <x:c r="F14" s="15" t="n">
        <x:v>-0.2393566409390751</x:v>
      </x:c>
      <x:c r="G14" s="15" t="n">
        <x:v>0.644483898026365</x:v>
      </x:c>
      <x:c r="H14" s="3" t="str">
        <x:v>1/99 truncated expanded-IPW update score equation</x:v>
      </x:c>
      <x:c r="I14" s="9" t="n">
        <x:v>1000</x:v>
      </x:c>
      <x:c r="J14" s="3" t="str">
        <x:v>retained patient/operation</x:v>
      </x:c>
      <x:c r="K14" s="3" t="str">
        <x:v>data/processed/canonical_bootstrap_distribution_v32.parquet</x:v>
      </x:c>
    </x:row>
    <x:row r="15" ht="64" customHeight="1">
      <x:c r="A15" s="7" t="str">
        <x:v>creatinine-defined AKI through discharge or postoperative day 7</x:v>
      </x:c>
      <x:c r="B15" s="7" t="str">
        <x:v>1/99 truncated-weight approximation to logistic recalibration parameters among all baseline-eligible MOVER 2021 patients under MAR conditional on measured pre-prediction variables</x:v>
      </x:c>
      <x:c r="C15" s="7" t="str">
        <x:v>expanded-IPW source development plus expanded-IPW MOVER 2021 logistic recalibration</x:v>
      </x:c>
      <x:c r="D15" s="7" t="str">
        <x:v>update_beta</x:v>
      </x:c>
      <x:c r="E15" s="16" t="n">
        <x:v>0.8909563129251556</x:v>
      </x:c>
      <x:c r="F15" s="16" t="n">
        <x:v>0.7152888864175401</x:v>
      </x:c>
      <x:c r="G15" s="16" t="n">
        <x:v>1.0735522947715348</x:v>
      </x:c>
      <x:c r="H15" s="7" t="str">
        <x:v>1/99 truncated expanded-IPW update score equation</x:v>
      </x:c>
      <x:c r="I15" s="10" t="n">
        <x:v>1000</x:v>
      </x:c>
      <x:c r="J15" s="7" t="str">
        <x:v>retained patient/operation</x:v>
      </x:c>
      <x:c r="K15" s="7" t="str">
        <x:v>data/processed/canonical_bootstrap_distribution_v32.parquet</x:v>
      </x:c>
    </x:row>
    <x:row r="16" ht="36" customHeight="1">
      <x:c r="A16" s="3" t="str">
        <x:v>creatinine-defined AKI through discharge or postoperative day 7</x:v>
      </x:c>
      <x:c r="B16" s="3" t="str">
        <x:v>threshold workload among all eligible MOVER 2022 patients at 5%</x:v>
      </x:c>
      <x:c r="C16" s="3" t="str">
        <x:v>expanded-IPW source development plus expanded-IPW MOVER 2021 logistic recalibration</x:v>
      </x:c>
      <x:c r="D16" s="3" t="str">
        <x:v>alerts</x:v>
      </x:c>
      <x:c r="E16" s="9" t="n">
        <x:v>2309</x:v>
      </x:c>
      <x:c r="F16" s="9" t="n">
        <x:v>1954</x:v>
      </x:c>
      <x:c r="G16" s="9" t="n">
        <x:v>2513</x:v>
      </x:c>
      <x:c r="H16" s="3" t="str">
        <x:v>exact all-eligible predictions</x:v>
      </x:c>
      <x:c r="I16" s="9" t="n">
        <x:v>1000</x:v>
      </x:c>
      <x:c r="J16" s="3" t="str">
        <x:v>retained patient/operation</x:v>
      </x:c>
      <x:c r="K16" s="3" t="str">
        <x:v>data/processed/canonical_bootstrap_distribution_v32.parquet</x:v>
      </x:c>
    </x:row>
    <x:row r="17" ht="36" customHeight="1">
      <x:c r="A17" s="7" t="str">
        <x:v>creatinine-defined AKI through discharge or postoperative day 7</x:v>
      </x:c>
      <x:c r="B17" s="7" t="str">
        <x:v>threshold workload among all eligible MOVER 2022 patients at 5%</x:v>
      </x:c>
      <x:c r="C17" s="7" t="str">
        <x:v>expanded-IPW source development plus expanded-IPW MOVER 2021 logistic recalibration</x:v>
      </x:c>
      <x:c r="D17" s="7" t="str">
        <x:v>alerts_per_1000</x:v>
      </x:c>
      <x:c r="E17" s="16" t="n">
        <x:v>892.5396211828372</x:v>
      </x:c>
      <x:c r="F17" s="16" t="n">
        <x:v>755.3150367220719</x:v>
      </x:c>
      <x:c r="G17" s="16" t="n">
        <x:v>971.395438732122</x:v>
      </x:c>
      <x:c r="H17" s="7" t="str">
        <x:v>exact all-eligible predictions</x:v>
      </x:c>
      <x:c r="I17" s="10" t="n">
        <x:v>1000</x:v>
      </x:c>
      <x:c r="J17" s="7" t="str">
        <x:v>retained patient/operation</x:v>
      </x:c>
      <x:c r="K17" s="7" t="str">
        <x:v>data/processed/canonical_bootstrap_distribution_v32.parquet</x:v>
      </x:c>
    </x:row>
    <x:row r="18" ht="36" customHeight="1">
      <x:c r="A18" s="3" t="str">
        <x:v>creatinine-defined AKI through discharge or postoperative day 7</x:v>
      </x:c>
      <x:c r="B18" s="3" t="str">
        <x:v>threshold workload among all eligible MOVER 2022 patients at 5%</x:v>
      </x:c>
      <x:c r="C18" s="3" t="str">
        <x:v>expanded-IPW source development plus expanded-IPW MOVER 2021 logistic recalibration</x:v>
      </x:c>
      <x:c r="D18" s="3" t="str">
        <x:v>true_positives_per_1000</x:v>
      </x:c>
      <x:c r="E18" s="15" t="n">
        <x:v>108.37609382151292</x:v>
      </x:c>
      <x:c r="F18" s="15" t="n">
        <x:v>92.46511194073202</x:v>
      </x:c>
      <x:c r="G18" s="15" t="n">
        <x:v>119.96380042133556</x:v>
      </x:c>
      <x:c r="H18" s="3" t="str">
        <x:v>plug-in ratio or total derived from AIPW components</x:v>
      </x:c>
      <x:c r="I18" s="9" t="n">
        <x:v>1000</x:v>
      </x:c>
      <x:c r="J18" s="3" t="str">
        <x:v>retained patient/operation</x:v>
      </x:c>
      <x:c r="K18" s="3" t="str">
        <x:v>data/processed/canonical_bootstrap_distribution_v32.parquet</x:v>
      </x:c>
    </x:row>
    <x:row r="19" ht="36" customHeight="1">
      <x:c r="A19" s="7" t="str">
        <x:v>creatinine-defined AKI through discharge or postoperative day 7</x:v>
      </x:c>
      <x:c r="B19" s="7" t="str">
        <x:v>threshold workload among all eligible MOVER 2022 patients at 5%</x:v>
      </x:c>
      <x:c r="C19" s="7" t="str">
        <x:v>expanded-IPW source development plus expanded-IPW MOVER 2021 logistic recalibration</x:v>
      </x:c>
      <x:c r="D19" s="7" t="str">
        <x:v>false_positives_per_1000</x:v>
      </x:c>
      <x:c r="E19" s="16" t="n">
        <x:v>784.1635273613243</x:v>
      </x:c>
      <x:c r="F19" s="16" t="n">
        <x:v>653.3931675414761</x:v>
      </x:c>
      <x:c r="G19" s="16" t="n">
        <x:v>860.8613928685568</x:v>
      </x:c>
      <x:c r="H19" s="7" t="str">
        <x:v>plug-in ratio or total derived from AIPW components</x:v>
      </x:c>
      <x:c r="I19" s="10" t="n">
        <x:v>1000</x:v>
      </x:c>
      <x:c r="J19" s="7" t="str">
        <x:v>retained patient/operation</x:v>
      </x:c>
      <x:c r="K19" s="7" t="str">
        <x:v>data/processed/canonical_bootstrap_distribution_v32.parquet</x:v>
      </x:c>
    </x:row>
    <x:row r="20" ht="36" customHeight="1">
      <x:c r="A20" s="3" t="str">
        <x:v>creatinine-defined AKI through discharge or postoperative day 7</x:v>
      </x:c>
      <x:c r="B20" s="3" t="str">
        <x:v>threshold workload among all eligible MOVER 2022 patients at 5%</x:v>
      </x:c>
      <x:c r="C20" s="3" t="str">
        <x:v>expanded-IPW source development plus expanded-IPW MOVER 2021 logistic recalibration</x:v>
      </x:c>
      <x:c r="D20" s="3" t="str">
        <x:v>sensitivity</x:v>
      </x:c>
      <x:c r="E20" s="15" t="n">
        <x:v>0.9708962825112448</x:v>
      </x:c>
      <x:c r="F20" s="15" t="n">
        <x:v>0.8870221710830108</x:v>
      </x:c>
      <x:c r="G20" s="15" t="n">
        <x:v>0.9989567246935956</x:v>
      </x:c>
      <x:c r="H20" s="3" t="str">
        <x:v>plug-in ratio or total derived from AIPW components</x:v>
      </x:c>
      <x:c r="I20" s="9" t="n">
        <x:v>1000</x:v>
      </x:c>
      <x:c r="J20" s="3" t="str">
        <x:v>retained patient/operation</x:v>
      </x:c>
      <x:c r="K20" s="3" t="str">
        <x:v>data/processed/canonical_bootstrap_distribution_v32.parquet</x:v>
      </x:c>
    </x:row>
    <x:row r="21" ht="36" customHeight="1">
      <x:c r="A21" s="7" t="str">
        <x:v>creatinine-defined AKI through discharge or postoperative day 7</x:v>
      </x:c>
      <x:c r="B21" s="7" t="str">
        <x:v>threshold workload among all eligible MOVER 2022 patients at 5%</x:v>
      </x:c>
      <x:c r="C21" s="7" t="str">
        <x:v>expanded-IPW source development plus expanded-IPW MOVER 2021 logistic recalibration</x:v>
      </x:c>
      <x:c r="D21" s="7" t="str">
        <x:v>positive_predictive_value</x:v>
      </x:c>
      <x:c r="E21" s="16" t="n">
        <x:v>0.1214244065466669</x:v>
      </x:c>
      <x:c r="F21" s="16" t="n">
        <x:v>0.1047457449764381</x:v>
      </x:c>
      <x:c r="G21" s="16" t="n">
        <x:v>0.1399189091020226</x:v>
      </x:c>
      <x:c r="H21" s="7" t="str">
        <x:v>plug-in ratio or total derived from AIPW components</x:v>
      </x:c>
      <x:c r="I21" s="10" t="n">
        <x:v>1000</x:v>
      </x:c>
      <x:c r="J21" s="7" t="str">
        <x:v>retained patient/operation</x:v>
      </x:c>
      <x:c r="K21" s="7" t="str">
        <x:v>data/processed/canonical_bootstrap_distribution_v32.parquet</x:v>
      </x:c>
    </x:row>
    <x:row r="22" ht="36" customHeight="1">
      <x:c r="A22" s="3" t="str">
        <x:v>creatinine-defined AKI through discharge or postoperative day 7</x:v>
      </x:c>
      <x:c r="B22" s="3" t="str">
        <x:v>threshold workload among all eligible MOVER 2022 patients at 5%</x:v>
      </x:c>
      <x:c r="C22" s="3" t="str">
        <x:v>expanded-IPW source development plus expanded-IPW MOVER 2021 logistic recalibration</x:v>
      </x:c>
      <x:c r="D22" s="3" t="str">
        <x:v>false_positives_per_true_positive</x:v>
      </x:c>
      <x:c r="E22" s="15" t="n">
        <x:v>7.235576589914575</x:v>
      </x:c>
      <x:c r="F22" s="15" t="n">
        <x:v>6.146997763563089</x:v>
      </x:c>
      <x:c r="G22" s="15" t="n">
        <x:v>8.546927626921132</x:v>
      </x:c>
      <x:c r="H22" s="3" t="str">
        <x:v>plug-in ratio or total derived from AIPW components</x:v>
      </x:c>
      <x:c r="I22" s="9" t="n">
        <x:v>1000</x:v>
      </x:c>
      <x:c r="J22" s="3" t="str">
        <x:v>retained patient/operation</x:v>
      </x:c>
      <x:c r="K22" s="3" t="str">
        <x:v>data/processed/canonical_bootstrap_distribution_v32.parquet</x:v>
      </x:c>
    </x:row>
    <x:row r="23" ht="36" customHeight="1">
      <x:c r="A23" s="7" t="str">
        <x:v>creatinine-defined AKI through discharge or postoperative day 7</x:v>
      </x:c>
      <x:c r="B23" s="7" t="str">
        <x:v>threshold workload among all eligible MOVER 2022 patients at 5%</x:v>
      </x:c>
      <x:c r="C23" s="7" t="str">
        <x:v>expanded-IPW source development plus expanded-IPW MOVER 2021 logistic recalibration</x:v>
      </x:c>
      <x:c r="D23" s="7" t="str">
        <x:v>absolute_net_benefit</x:v>
      </x:c>
      <x:c r="E23" s="16" t="n">
        <x:v>0.0671043292235484</x:v>
      </x:c>
      <x:c r="F23" s="16" t="n">
        <x:v>0.0527704650966701</x:v>
      </x:c>
      <x:c r="G23" s="16" t="n">
        <x:v>0.0791442133184659</x:v>
      </x:c>
      <x:c r="H23" s="7" t="str">
        <x:v>plug-in ratio or total derived from AIPW components</x:v>
      </x:c>
      <x:c r="I23" s="10" t="n">
        <x:v>1000</x:v>
      </x:c>
      <x:c r="J23" s="7" t="str">
        <x:v>retained patient/operation</x:v>
      </x:c>
      <x:c r="K23" s="7" t="str">
        <x:v>data/processed/canonical_bootstrap_distribution_v32.parquet</x:v>
      </x:c>
    </x:row>
    <x:row r="24" ht="36" customHeight="1">
      <x:c r="A24" s="3" t="str">
        <x:v>creatinine-defined AKI through discharge or postoperative day 7</x:v>
      </x:c>
      <x:c r="B24" s="3" t="str">
        <x:v>threshold workload among all eligible MOVER 2022 patients at 5%</x:v>
      </x:c>
      <x:c r="C24" s="3" t="str">
        <x:v>expanded-IPW source development plus expanded-IPW MOVER 2021 logistic recalibration</x:v>
      </x:c>
      <x:c r="D24" s="3" t="str">
        <x:v>treat_all_net_benefit</x:v>
      </x:c>
      <x:c r="E24" s="15" t="n">
        <x:v>0.0648682001890976</x:v>
      </x:c>
      <x:c r="F24" s="15" t="n">
        <x:v>0.0518353467941148</x:v>
      </x:c>
      <x:c r="G24" s="15" t="n">
        <x:v>0.0780064297796718</x:v>
      </x:c>
      <x:c r="H24" s="3" t="str">
        <x:v>plug-in ratio or total derived from AIPW components</x:v>
      </x:c>
      <x:c r="I24" s="9" t="n">
        <x:v>1000</x:v>
      </x:c>
      <x:c r="J24" s="3" t="str">
        <x:v>retained patient/operation</x:v>
      </x:c>
      <x:c r="K24" s="3" t="str">
        <x:v>data/processed/canonical_bootstrap_distribution_v32.parquet</x:v>
      </x:c>
    </x:row>
    <x:row r="25" ht="36" customHeight="1">
      <x:c r="A25" s="7" t="str">
        <x:v>creatinine-defined AKI through discharge or postoperative day 7</x:v>
      </x:c>
      <x:c r="B25" s="7" t="str">
        <x:v>threshold workload among all eligible MOVER 2022 patients at 5%</x:v>
      </x:c>
      <x:c r="C25" s="7" t="str">
        <x:v>expanded-IPW source development plus expanded-IPW MOVER 2021 logistic recalibration</x:v>
      </x:c>
      <x:c r="D25" s="7" t="str">
        <x:v>incremental_net_benefit_vs_better_default</x:v>
      </x:c>
      <x:c r="E25" s="16" t="n">
        <x:v>0.0022361290344507</x:v>
      </x:c>
      <x:c r="F25" s="16" t="n">
        <x:v>-0.0028143989981388</x:v>
      </x:c>
      <x:c r="G25" s="16" t="n">
        <x:v>0.0046218630881126</x:v>
      </x:c>
      <x:c r="H25" s="7" t="str">
        <x:v>plug-in ratio or total derived from AIPW components</x:v>
      </x:c>
      <x:c r="I25" s="10" t="n">
        <x:v>1000</x:v>
      </x:c>
      <x:c r="J25" s="7" t="str">
        <x:v>retained patient/operation</x:v>
      </x:c>
      <x:c r="K25" s="7" t="str">
        <x:v>data/processed/canonical_bootstrap_distribution_v32.parquet</x:v>
      </x:c>
    </x:row>
    <x:row r="26" ht="36" customHeight="1">
      <x:c r="A26" s="3" t="str">
        <x:v>creatinine-defined AKI through discharge or postoperative day 7</x:v>
      </x:c>
      <x:c r="B26" s="3" t="str">
        <x:v>threshold workload among all eligible MOVER 2022 patients at 10%</x:v>
      </x:c>
      <x:c r="C26" s="3" t="str">
        <x:v>expanded-IPW source development plus expanded-IPW MOVER 2021 logistic recalibration</x:v>
      </x:c>
      <x:c r="D26" s="3" t="str">
        <x:v>alerts</x:v>
      </x:c>
      <x:c r="E26" s="9" t="n">
        <x:v>980</x:v>
      </x:c>
      <x:c r="F26" s="15" t="n">
        <x:v>754.975</x:v>
      </x:c>
      <x:c r="G26" s="15" t="n">
        <x:v>1259.05</x:v>
      </x:c>
      <x:c r="H26" s="3" t="str">
        <x:v>exact all-eligible predictions</x:v>
      </x:c>
      <x:c r="I26" s="9" t="n">
        <x:v>1000</x:v>
      </x:c>
      <x:c r="J26" s="3" t="str">
        <x:v>retained patient/operation</x:v>
      </x:c>
      <x:c r="K26" s="3" t="str">
        <x:v>data/processed/canonical_bootstrap_distribution_v32.parquet</x:v>
      </x:c>
    </x:row>
    <x:row r="27" ht="36" customHeight="1">
      <x:c r="A27" s="7" t="str">
        <x:v>creatinine-defined AKI through discharge or postoperative day 7</x:v>
      </x:c>
      <x:c r="B27" s="7" t="str">
        <x:v>threshold workload among all eligible MOVER 2022 patients at 10%</x:v>
      </x:c>
      <x:c r="C27" s="7" t="str">
        <x:v>expanded-IPW source development plus expanded-IPW MOVER 2021 logistic recalibration</x:v>
      </x:c>
      <x:c r="D27" s="7" t="str">
        <x:v>alerts_per_1000</x:v>
      </x:c>
      <x:c r="E27" s="16" t="n">
        <x:v>378.81716273676074</x:v>
      </x:c>
      <x:c r="F27" s="16" t="n">
        <x:v>291.83417085427135</x:v>
      </x:c>
      <x:c r="G27" s="16" t="n">
        <x:v>486.6834170854271</x:v>
      </x:c>
      <x:c r="H27" s="7" t="str">
        <x:v>exact all-eligible predictions</x:v>
      </x:c>
      <x:c r="I27" s="10" t="n">
        <x:v>1000</x:v>
      </x:c>
      <x:c r="J27" s="7" t="str">
        <x:v>retained patient/operation</x:v>
      </x:c>
      <x:c r="K27" s="7" t="str">
        <x:v>data/processed/canonical_bootstrap_distribution_v32.parquet</x:v>
      </x:c>
    </x:row>
    <x:row r="28" ht="36" customHeight="1">
      <x:c r="A28" s="3" t="str">
        <x:v>creatinine-defined AKI through discharge or postoperative day 7</x:v>
      </x:c>
      <x:c r="B28" s="3" t="str">
        <x:v>threshold workload among all eligible MOVER 2022 patients at 10%</x:v>
      </x:c>
      <x:c r="C28" s="3" t="str">
        <x:v>expanded-IPW source development plus expanded-IPW MOVER 2021 logistic recalibration</x:v>
      </x:c>
      <x:c r="D28" s="3" t="str">
        <x:v>true_positives_per_1000</x:v>
      </x:c>
      <x:c r="E28" s="15" t="n">
        <x:v>68.6190816611225</x:v>
      </x:c>
      <x:c r="F28" s="15" t="n">
        <x:v>53.33777129233868</x:v>
      </x:c>
      <x:c r="G28" s="15" t="n">
        <x:v>83.58457185119481</x:v>
      </x:c>
      <x:c r="H28" s="3" t="str">
        <x:v>plug-in ratio or total derived from AIPW components</x:v>
      </x:c>
      <x:c r="I28" s="9" t="n">
        <x:v>1000</x:v>
      </x:c>
      <x:c r="J28" s="3" t="str">
        <x:v>retained patient/operation</x:v>
      </x:c>
      <x:c r="K28" s="3" t="str">
        <x:v>data/processed/canonical_bootstrap_distribution_v32.parquet</x:v>
      </x:c>
    </x:row>
    <x:row r="29" ht="36" customHeight="1">
      <x:c r="A29" s="7" t="str">
        <x:v>creatinine-defined AKI through discharge or postoperative day 7</x:v>
      </x:c>
      <x:c r="B29" s="7" t="str">
        <x:v>threshold workload among all eligible MOVER 2022 patients at 10%</x:v>
      </x:c>
      <x:c r="C29" s="7" t="str">
        <x:v>expanded-IPW source development plus expanded-IPW MOVER 2021 logistic recalibration</x:v>
      </x:c>
      <x:c r="D29" s="7" t="str">
        <x:v>false_positives_per_1000</x:v>
      </x:c>
      <x:c r="E29" s="16" t="n">
        <x:v>310.19808107563824</x:v>
      </x:c>
      <x:c r="F29" s="16" t="n">
        <x:v>233.7784949634782</x:v>
      </x:c>
      <x:c r="G29" s="16" t="n">
        <x:v>405.9842809795066</x:v>
      </x:c>
      <x:c r="H29" s="7" t="str">
        <x:v>plug-in ratio or total derived from AIPW components</x:v>
      </x:c>
      <x:c r="I29" s="10" t="n">
        <x:v>1000</x:v>
      </x:c>
      <x:c r="J29" s="7" t="str">
        <x:v>retained patient/operation</x:v>
      </x:c>
      <x:c r="K29" s="7" t="str">
        <x:v>data/processed/canonical_bootstrap_distribution_v32.parquet</x:v>
      </x:c>
    </x:row>
    <x:row r="30" ht="36" customHeight="1">
      <x:c r="A30" s="3" t="str">
        <x:v>creatinine-defined AKI through discharge or postoperative day 7</x:v>
      </x:c>
      <x:c r="B30" s="3" t="str">
        <x:v>threshold workload among all eligible MOVER 2022 patients at 10%</x:v>
      </x:c>
      <x:c r="C30" s="3" t="str">
        <x:v>expanded-IPW source development plus expanded-IPW MOVER 2021 logistic recalibration</x:v>
      </x:c>
      <x:c r="D30" s="3" t="str">
        <x:v>sensitivity</x:v>
      </x:c>
      <x:c r="E30" s="15" t="n">
        <x:v>0.6147297706064282</x:v>
      </x:c>
      <x:c r="F30" s="15" t="n">
        <x:v>0.5010495884056847</x:v>
      </x:c>
      <x:c r="G30" s="15" t="n">
        <x:v>0.724483836568416</x:v>
      </x:c>
      <x:c r="H30" s="3" t="str">
        <x:v>plug-in ratio or total derived from AIPW components</x:v>
      </x:c>
      <x:c r="I30" s="9" t="n">
        <x:v>1000</x:v>
      </x:c>
      <x:c r="J30" s="3" t="str">
        <x:v>retained patient/operation</x:v>
      </x:c>
      <x:c r="K30" s="3" t="str">
        <x:v>data/processed/canonical_bootstrap_distribution_v32.parquet</x:v>
      </x:c>
    </x:row>
    <x:row r="31" ht="36" customHeight="1">
      <x:c r="A31" s="7" t="str">
        <x:v>creatinine-defined AKI through discharge or postoperative day 7</x:v>
      </x:c>
      <x:c r="B31" s="7" t="str">
        <x:v>threshold workload among all eligible MOVER 2022 patients at 10%</x:v>
      </x:c>
      <x:c r="C31" s="7" t="str">
        <x:v>expanded-IPW source development plus expanded-IPW MOVER 2021 logistic recalibration</x:v>
      </x:c>
      <x:c r="D31" s="7" t="str">
        <x:v>positive_predictive_value</x:v>
      </x:c>
      <x:c r="E31" s="16" t="n">
        <x:v>0.1811403716911468</x:v>
      </x:c>
      <x:c r="F31" s="16" t="n">
        <x:v>0.1485853978247464</x:v>
      </x:c>
      <x:c r="G31" s="16" t="n">
        <x:v>0.2134138517158126</x:v>
      </x:c>
      <x:c r="H31" s="7" t="str">
        <x:v>plug-in ratio or total derived from AIPW components</x:v>
      </x:c>
      <x:c r="I31" s="10" t="n">
        <x:v>1000</x:v>
      </x:c>
      <x:c r="J31" s="7" t="str">
        <x:v>retained patient/operation</x:v>
      </x:c>
      <x:c r="K31" s="7" t="str">
        <x:v>data/processed/canonical_bootstrap_distribution_v32.parquet</x:v>
      </x:c>
    </x:row>
    <x:row r="32" ht="36" customHeight="1">
      <x:c r="A32" s="3" t="str">
        <x:v>creatinine-defined AKI through discharge or postoperative day 7</x:v>
      </x:c>
      <x:c r="B32" s="3" t="str">
        <x:v>threshold workload among all eligible MOVER 2022 patients at 10%</x:v>
      </x:c>
      <x:c r="C32" s="3" t="str">
        <x:v>expanded-IPW source development plus expanded-IPW MOVER 2021 logistic recalibration</x:v>
      </x:c>
      <x:c r="D32" s="3" t="str">
        <x:v>false_positives_per_true_positive</x:v>
      </x:c>
      <x:c r="E32" s="15" t="n">
        <x:v>4.520580479458487</x:v>
      </x:c>
      <x:c r="F32" s="15" t="n">
        <x:v>3.685731921136483</x:v>
      </x:c>
      <x:c r="G32" s="15" t="n">
        <x:v>5.730136463286809</x:v>
      </x:c>
      <x:c r="H32" s="3" t="str">
        <x:v>plug-in ratio or total derived from AIPW components</x:v>
      </x:c>
      <x:c r="I32" s="9" t="n">
        <x:v>1000</x:v>
      </x:c>
      <x:c r="J32" s="3" t="str">
        <x:v>retained patient/operation</x:v>
      </x:c>
      <x:c r="K32" s="3" t="str">
        <x:v>data/processed/canonical_bootstrap_distribution_v32.parquet</x:v>
      </x:c>
    </x:row>
    <x:row r="33" ht="36" customHeight="1">
      <x:c r="A33" s="7" t="str">
        <x:v>creatinine-defined AKI through discharge or postoperative day 7</x:v>
      </x:c>
      <x:c r="B33" s="7" t="str">
        <x:v>threshold workload among all eligible MOVER 2022 patients at 10%</x:v>
      </x:c>
      <x:c r="C33" s="7" t="str">
        <x:v>expanded-IPW source development plus expanded-IPW MOVER 2021 logistic recalibration</x:v>
      </x:c>
      <x:c r="D33" s="7" t="str">
        <x:v>absolute_net_benefit</x:v>
      </x:c>
      <x:c r="E33" s="16" t="n">
        <x:v>0.0341526282082738</x:v>
      </x:c>
      <x:c r="F33" s="16" t="n">
        <x:v>0.022491006771635</x:v>
      </x:c>
      <x:c r="G33" s="16" t="n">
        <x:v>0.0446223647333119</x:v>
      </x:c>
      <x:c r="H33" s="7" t="str">
        <x:v>plug-in ratio or total derived from AIPW components</x:v>
      </x:c>
      <x:c r="I33" s="10" t="n">
        <x:v>1000</x:v>
      </x:c>
      <x:c r="J33" s="7" t="str">
        <x:v>retained patient/operation</x:v>
      </x:c>
      <x:c r="K33" s="7" t="str">
        <x:v>data/processed/canonical_bootstrap_distribution_v32.parquet</x:v>
      </x:c>
    </x:row>
    <x:row r="34" ht="36" customHeight="1">
      <x:c r="A34" s="3" t="str">
        <x:v>creatinine-defined AKI through discharge or postoperative day 7</x:v>
      </x:c>
      <x:c r="B34" s="3" t="str">
        <x:v>threshold workload among all eligible MOVER 2022 patients at 10%</x:v>
      </x:c>
      <x:c r="C34" s="3" t="str">
        <x:v>expanded-IPW source development plus expanded-IPW MOVER 2021 logistic recalibration</x:v>
      </x:c>
      <x:c r="D34" s="3" t="str">
        <x:v>treat_all_net_benefit</x:v>
      </x:c>
      <x:c r="E34" s="15" t="n">
        <x:v>0.0129164335329364</x:v>
      </x:c>
      <x:c r="F34" s="15" t="n">
        <x:v>-0.0008404672728787</x:v>
      </x:c>
      <x:c r="G34" s="15" t="n">
        <x:v>0.0267845647674313</x:v>
      </x:c>
      <x:c r="H34" s="3" t="str">
        <x:v>plug-in ratio or total derived from AIPW components</x:v>
      </x:c>
      <x:c r="I34" s="9" t="n">
        <x:v>1000</x:v>
      </x:c>
      <x:c r="J34" s="3" t="str">
        <x:v>retained patient/operation</x:v>
      </x:c>
      <x:c r="K34" s="3" t="str">
        <x:v>data/processed/canonical_bootstrap_distribution_v32.parquet</x:v>
      </x:c>
    </x:row>
    <x:row r="35" ht="36" customHeight="1">
      <x:c r="A35" s="7" t="str">
        <x:v>creatinine-defined AKI through discharge or postoperative day 7</x:v>
      </x:c>
      <x:c r="B35" s="7" t="str">
        <x:v>threshold workload among all eligible MOVER 2022 patients at 10%</x:v>
      </x:c>
      <x:c r="C35" s="7" t="str">
        <x:v>expanded-IPW source development plus expanded-IPW MOVER 2021 logistic recalibration</x:v>
      </x:c>
      <x:c r="D35" s="7" t="str">
        <x:v>incremental_net_benefit_vs_better_default</x:v>
      </x:c>
      <x:c r="E35" s="16" t="n">
        <x:v>0.0212361946753373</x:v>
      </x:c>
      <x:c r="F35" s="16" t="n">
        <x:v>0.0101372801942285</x:v>
      </x:c>
      <x:c r="G35" s="16" t="n">
        <x:v>0.0297003960146643</x:v>
      </x:c>
      <x:c r="H35" s="7" t="str">
        <x:v>plug-in ratio or total derived from AIPW components</x:v>
      </x:c>
      <x:c r="I35" s="10" t="n">
        <x:v>1000</x:v>
      </x:c>
      <x:c r="J35" s="7" t="str">
        <x:v>retained patient/operation</x:v>
      </x:c>
      <x:c r="K35" s="7" t="str">
        <x:v>data/processed/canonical_bootstrap_distribution_v32.parquet</x:v>
      </x:c>
    </x:row>
    <x:row r="36" ht="36" customHeight="1">
      <x:c r="A36" s="3" t="str">
        <x:v>creatinine-defined AKI through discharge or postoperative day 7</x:v>
      </x:c>
      <x:c r="B36" s="3" t="str">
        <x:v>threshold workload among all eligible MOVER 2022 patients at 20%</x:v>
      </x:c>
      <x:c r="C36" s="3" t="str">
        <x:v>expanded-IPW source development plus expanded-IPW MOVER 2021 logistic recalibration</x:v>
      </x:c>
      <x:c r="D36" s="3" t="str">
        <x:v>alerts</x:v>
      </x:c>
      <x:c r="E36" s="9" t="n">
        <x:v>226</x:v>
      </x:c>
      <x:c r="F36" s="9" t="n">
        <x:v>168</x:v>
      </x:c>
      <x:c r="G36" s="15" t="n">
        <x:v>298.04999999999995</x:v>
      </x:c>
      <x:c r="H36" s="3" t="str">
        <x:v>exact all-eligible predictions</x:v>
      </x:c>
      <x:c r="I36" s="9" t="n">
        <x:v>1000</x:v>
      </x:c>
      <x:c r="J36" s="3" t="str">
        <x:v>retained patient/operation</x:v>
      </x:c>
      <x:c r="K36" s="3" t="str">
        <x:v>data/processed/canonical_bootstrap_distribution_v32.parquet</x:v>
      </x:c>
    </x:row>
    <x:row r="37" ht="36" customHeight="1">
      <x:c r="A37" s="7" t="str">
        <x:v>creatinine-defined AKI through discharge or postoperative day 7</x:v>
      </x:c>
      <x:c r="B37" s="7" t="str">
        <x:v>threshold workload among all eligible MOVER 2022 patients at 20%</x:v>
      </x:c>
      <x:c r="C37" s="7" t="str">
        <x:v>expanded-IPW source development plus expanded-IPW MOVER 2021 logistic recalibration</x:v>
      </x:c>
      <x:c r="D37" s="7" t="str">
        <x:v>alerts_per_1000</x:v>
      </x:c>
      <x:c r="E37" s="16" t="n">
        <x:v>87.35987630459992</x:v>
      </x:c>
      <x:c r="F37" s="16" t="n">
        <x:v>64.94008504058755</x:v>
      </x:c>
      <x:c r="G37" s="16" t="n">
        <x:v>115.21066872825664</x:v>
      </x:c>
      <x:c r="H37" s="7" t="str">
        <x:v>exact all-eligible predictions</x:v>
      </x:c>
      <x:c r="I37" s="10" t="n">
        <x:v>1000</x:v>
      </x:c>
      <x:c r="J37" s="7" t="str">
        <x:v>retained patient/operation</x:v>
      </x:c>
      <x:c r="K37" s="7" t="str">
        <x:v>data/processed/canonical_bootstrap_distribution_v32.parquet</x:v>
      </x:c>
    </x:row>
    <x:row r="38" ht="36" customHeight="1">
      <x:c r="A38" s="3" t="str">
        <x:v>creatinine-defined AKI through discharge or postoperative day 7</x:v>
      </x:c>
      <x:c r="B38" s="3" t="str">
        <x:v>threshold workload among all eligible MOVER 2022 patients at 20%</x:v>
      </x:c>
      <x:c r="C38" s="3" t="str">
        <x:v>expanded-IPW source development plus expanded-IPW MOVER 2021 logistic recalibration</x:v>
      </x:c>
      <x:c r="D38" s="3" t="str">
        <x:v>true_positives_per_1000</x:v>
      </x:c>
      <x:c r="E38" s="15" t="n">
        <x:v>26.970013446427384</x:v>
      </x:c>
      <x:c r="F38" s="15" t="n">
        <x:v>20.03774679909531</x:v>
      </x:c>
      <x:c r="G38" s="15" t="n">
        <x:v>34.959674811283925</x:v>
      </x:c>
      <x:c r="H38" s="3" t="str">
        <x:v>plug-in ratio or total derived from AIPW components</x:v>
      </x:c>
      <x:c r="I38" s="9" t="n">
        <x:v>1000</x:v>
      </x:c>
      <x:c r="J38" s="3" t="str">
        <x:v>retained patient/operation</x:v>
      </x:c>
      <x:c r="K38" s="3" t="str">
        <x:v>data/processed/canonical_bootstrap_distribution_v32.parquet</x:v>
      </x:c>
    </x:row>
    <x:row r="39" ht="36" customHeight="1">
      <x:c r="A39" s="7" t="str">
        <x:v>creatinine-defined AKI through discharge or postoperative day 7</x:v>
      </x:c>
      <x:c r="B39" s="7" t="str">
        <x:v>threshold workload among all eligible MOVER 2022 patients at 20%</x:v>
      </x:c>
      <x:c r="C39" s="7" t="str">
        <x:v>expanded-IPW source development plus expanded-IPW MOVER 2021 logistic recalibration</x:v>
      </x:c>
      <x:c r="D39" s="7" t="str">
        <x:v>false_positives_per_1000</x:v>
      </x:c>
      <x:c r="E39" s="16" t="n">
        <x:v>60.38986285817254</x:v>
      </x:c>
      <x:c r="F39" s="16" t="n">
        <x:v>41.24080186194784</x:v>
      </x:c>
      <x:c r="G39" s="16" t="n">
        <x:v>83.82852091934971</x:v>
      </x:c>
      <x:c r="H39" s="7" t="str">
        <x:v>plug-in ratio or total derived from AIPW components</x:v>
      </x:c>
      <x:c r="I39" s="10" t="n">
        <x:v>1000</x:v>
      </x:c>
      <x:c r="J39" s="7" t="str">
        <x:v>retained patient/operation</x:v>
      </x:c>
      <x:c r="K39" s="7" t="str">
        <x:v>data/processed/canonical_bootstrap_distribution_v32.parquet</x:v>
      </x:c>
    </x:row>
    <x:row r="40" ht="36" customHeight="1">
      <x:c r="A40" s="3" t="str">
        <x:v>creatinine-defined AKI through discharge or postoperative day 7</x:v>
      </x:c>
      <x:c r="B40" s="3" t="str">
        <x:v>threshold workload among all eligible MOVER 2022 patients at 20%</x:v>
      </x:c>
      <x:c r="C40" s="3" t="str">
        <x:v>expanded-IPW source development plus expanded-IPW MOVER 2021 logistic recalibration</x:v>
      </x:c>
      <x:c r="D40" s="3" t="str">
        <x:v>sensitivity</x:v>
      </x:c>
      <x:c r="E40" s="15" t="n">
        <x:v>0.2416131166116713</x:v>
      </x:c>
      <x:c r="F40" s="15" t="n">
        <x:v>0.1844382513186293</x:v>
      </x:c>
      <x:c r="G40" s="15" t="n">
        <x:v>0.3077666702782459</x:v>
      </x:c>
      <x:c r="H40" s="3" t="str">
        <x:v>plug-in ratio or total derived from AIPW components</x:v>
      </x:c>
      <x:c r="I40" s="9" t="n">
        <x:v>1000</x:v>
      </x:c>
      <x:c r="J40" s="3" t="str">
        <x:v>retained patient/operation</x:v>
      </x:c>
      <x:c r="K40" s="3" t="str">
        <x:v>data/processed/canonical_bootstrap_distribution_v32.parquet</x:v>
      </x:c>
    </x:row>
    <x:row r="41" ht="36" customHeight="1">
      <x:c r="A41" s="7" t="str">
        <x:v>creatinine-defined AKI through discharge or postoperative day 7</x:v>
      </x:c>
      <x:c r="B41" s="7" t="str">
        <x:v>threshold workload among all eligible MOVER 2022 patients at 20%</x:v>
      </x:c>
      <x:c r="C41" s="7" t="str">
        <x:v>expanded-IPW source development plus expanded-IPW MOVER 2021 logistic recalibration</x:v>
      </x:c>
      <x:c r="D41" s="7" t="str">
        <x:v>positive_predictive_value</x:v>
      </x:c>
      <x:c r="E41" s="16" t="n">
        <x:v>0.3087231185217152</x:v>
      </x:c>
      <x:c r="F41" s="16" t="n">
        <x:v>0.2435968711794014</x:v>
      </x:c>
      <x:c r="G41" s="16" t="n">
        <x:v>0.3880915073148203</x:v>
      </x:c>
      <x:c r="H41" s="7" t="str">
        <x:v>plug-in ratio or total derived from AIPW components</x:v>
      </x:c>
      <x:c r="I41" s="10" t="n">
        <x:v>1000</x:v>
      </x:c>
      <x:c r="J41" s="7" t="str">
        <x:v>retained patient/operation</x:v>
      </x:c>
      <x:c r="K41" s="7" t="str">
        <x:v>data/processed/canonical_bootstrap_distribution_v32.parquet</x:v>
      </x:c>
    </x:row>
    <x:row r="42" ht="36" customHeight="1">
      <x:c r="A42" s="3" t="str">
        <x:v>creatinine-defined AKI through discharge or postoperative day 7</x:v>
      </x:c>
      <x:c r="B42" s="3" t="str">
        <x:v>threshold workload among all eligible MOVER 2022 patients at 20%</x:v>
      </x:c>
      <x:c r="C42" s="3" t="str">
        <x:v>expanded-IPW source development plus expanded-IPW MOVER 2021 logistic recalibration</x:v>
      </x:c>
      <x:c r="D42" s="3" t="str">
        <x:v>false_positives_per_true_positive</x:v>
      </x:c>
      <x:c r="E42" s="15" t="n">
        <x:v>2.2391484148915826</x:v>
      </x:c>
      <x:c r="F42" s="15" t="n">
        <x:v>1.5767122540981693</x:v>
      </x:c>
      <x:c r="G42" s="15" t="n">
        <x:v>3.1051431019601674</x:v>
      </x:c>
      <x:c r="H42" s="3" t="str">
        <x:v>plug-in ratio or total derived from AIPW components</x:v>
      </x:c>
      <x:c r="I42" s="9" t="n">
        <x:v>1000</x:v>
      </x:c>
      <x:c r="J42" s="3" t="str">
        <x:v>retained patient/operation</x:v>
      </x:c>
      <x:c r="K42" s="3" t="str">
        <x:v>data/processed/canonical_bootstrap_distribution_v32.parquet</x:v>
      </x:c>
    </x:row>
    <x:row r="43" ht="36" customHeight="1">
      <x:c r="A43" s="7" t="str">
        <x:v>creatinine-defined AKI through discharge or postoperative day 7</x:v>
      </x:c>
      <x:c r="B43" s="7" t="str">
        <x:v>threshold workload among all eligible MOVER 2022 patients at 20%</x:v>
      </x:c>
      <x:c r="C43" s="7" t="str">
        <x:v>expanded-IPW source development plus expanded-IPW MOVER 2021 logistic recalibration</x:v>
      </x:c>
      <x:c r="D43" s="7" t="str">
        <x:v>absolute_net_benefit</x:v>
      </x:c>
      <x:c r="E43" s="16" t="n">
        <x:v>0.0118725477318842</x:v>
      </x:c>
      <x:c r="F43" s="16" t="n">
        <x:v>0.0053775003885063</x:v>
      </x:c>
      <x:c r="G43" s="16" t="n">
        <x:v>0.019808521899096</x:v>
      </x:c>
      <x:c r="H43" s="7" t="str">
        <x:v>plug-in ratio or total derived from AIPW components</x:v>
      </x:c>
      <x:c r="I43" s="10" t="n">
        <x:v>1000</x:v>
      </x:c>
      <x:c r="J43" s="7" t="str">
        <x:v>retained patient/operation</x:v>
      </x:c>
      <x:c r="K43" s="7" t="str">
        <x:v>data/processed/canonical_bootstrap_distribution_v32.parquet</x:v>
      </x:c>
    </x:row>
    <x:row r="44" ht="36" customHeight="1">
      <x:c r="A44" s="3" t="str">
        <x:v>creatinine-defined AKI through discharge or postoperative day 7</x:v>
      </x:c>
      <x:c r="B44" s="3" t="str">
        <x:v>threshold workload among all eligible MOVER 2022 patients at 20%</x:v>
      </x:c>
      <x:c r="C44" s="3" t="str">
        <x:v>expanded-IPW source development plus expanded-IPW MOVER 2021 logistic recalibration</x:v>
      </x:c>
      <x:c r="D44" s="3" t="str">
        <x:v>treat_all_net_benefit</x:v>
      </x:c>
      <x:c r="E44" s="15" t="n">
        <x:v>-0.1104690122754465</x:v>
      </x:c>
      <x:c r="F44" s="15" t="n">
        <x:v>-0.1259455256819885</x:v>
      </x:c>
      <x:c r="G44" s="15" t="n">
        <x:v>-0.0948673646366397</x:v>
      </x:c>
      <x:c r="H44" s="3" t="str">
        <x:v>plug-in ratio or total derived from AIPW components</x:v>
      </x:c>
      <x:c r="I44" s="9" t="n">
        <x:v>1000</x:v>
      </x:c>
      <x:c r="J44" s="3" t="str">
        <x:v>retained patient/operation</x:v>
      </x:c>
      <x:c r="K44" s="3" t="str">
        <x:v>data/processed/canonical_bootstrap_distribution_v32.parquet</x:v>
      </x:c>
    </x:row>
    <x:row r="45" ht="36" customHeight="1">
      <x:c r="A45" s="7" t="str">
        <x:v>creatinine-defined AKI through discharge or postoperative day 7</x:v>
      </x:c>
      <x:c r="B45" s="7" t="str">
        <x:v>threshold workload among all eligible MOVER 2022 patients at 20%</x:v>
      </x:c>
      <x:c r="C45" s="7" t="str">
        <x:v>expanded-IPW source development plus expanded-IPW MOVER 2021 logistic recalibration</x:v>
      </x:c>
      <x:c r="D45" s="7" t="str">
        <x:v>incremental_net_benefit_vs_better_default</x:v>
      </x:c>
      <x:c r="E45" s="16" t="n">
        <x:v>0.0118725477318842</x:v>
      </x:c>
      <x:c r="F45" s="16" t="n">
        <x:v>0.0053775003885063</x:v>
      </x:c>
      <x:c r="G45" s="16" t="n">
        <x:v>0.019808521899096</x:v>
      </x:c>
      <x:c r="H45" s="7" t="str">
        <x:v>plug-in ratio or total derived from AIPW components</x:v>
      </x:c>
      <x:c r="I45" s="10" t="n">
        <x:v>1000</x:v>
      </x:c>
      <x:c r="J45" s="7" t="str">
        <x:v>retained patient/operation</x:v>
      </x:c>
      <x:c r="K45" s="7" t="str">
        <x:v>data/processed/canonical_bootstrap_distribution_v32.parquet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32" hidden="0" customWidth="1"/>
    <x:col min="3" max="3" width="33" hidden="0" customWidth="1"/>
    <x:col min="4" max="4" width="31" hidden="0" customWidth="1"/>
    <x:col min="5" max="5" width="19" hidden="0" customWidth="1"/>
    <x:col min="6" max="6" width="19" hidden="0" customWidth="1"/>
    <x:col min="7" max="7" width="13" hidden="0" customWidth="1"/>
    <x:col min="8" max="8" width="1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22" hidden="0" customWidth="1"/>
    <x:col min="14" max="14" width="28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39" hidden="0" customWidth="1"/>
  </x:cols>
  <x:sheetData>
    <x:row r="1" ht="64" customHeight="1">
      <x:c r="A1" s="6" t="str">
        <x:v>strategy</x:v>
      </x:c>
      <x:c r="B1" s="6" t="str">
        <x:v>source_model_estimand</x:v>
      </x:c>
      <x:c r="C1" s="6" t="str">
        <x:v>update_estimator</x:v>
      </x:c>
      <x:c r="D1" s="6" t="str">
        <x:v>primary_or_required_comparator</x:v>
      </x:c>
      <x:c r="E1" s="6" t="str">
        <x:v>update_alpha</x:v>
      </x:c>
      <x:c r="F1" s="6" t="str">
        <x:v>update_beta</x:v>
      </x:c>
      <x:c r="G1" s="6" t="str">
        <x:v>n</x:v>
      </x:c>
      <x:c r="H1" s="6" t="str">
        <x:v>weighted_n</x:v>
      </x:c>
      <x:c r="I1" s="6" t="str">
        <x:v>events</x:v>
      </x:c>
      <x:c r="J1" s="6" t="str">
        <x:v>event_rate</x:v>
      </x:c>
      <x:c r="K1" s="6" t="str">
        <x:v>predicted_mean</x:v>
      </x:c>
      <x:c r="L1" s="6" t="str">
        <x:v>oe_ratio</x:v>
      </x:c>
      <x:c r="M1" s="6" t="str">
        <x:v>calibration_intercept</x:v>
      </x:c>
      <x:c r="N1" s="6" t="str">
        <x:v>calibration_joint_intercept</x:v>
      </x:c>
      <x:c r="O1" s="6" t="str">
        <x:v>calibration_slope</x:v>
      </x:c>
      <x:c r="P1" s="6" t="str">
        <x:v>auroc</x:v>
      </x:c>
      <x:c r="Q1" s="6" t="str">
        <x:v>auprc</x:v>
      </x:c>
      <x:c r="R1" s="6" t="str">
        <x:v>brier</x:v>
      </x:c>
      <x:c r="S1" s="6" t="str">
        <x:v>brier_skill_score</x:v>
      </x:c>
      <x:c r="T1" s="6" t="str">
        <x:v>grouped_absolute_calibration_error_10q</x:v>
      </x:c>
    </x:row>
    <x:row r="2" ht="36" customHeight="1">
      <x:c r="A2" s="3" t="str">
        <x:v>1/99 truncated-IPW source model + unupdated source-only comparator</x:v>
      </x:c>
      <x:c r="B2" s="3" t="str">
        <x:v>1/99 truncated-IPW source model</x:v>
      </x:c>
      <x:c r="C2" s="3" t="str">
        <x:v>unupdated source-only comparator</x:v>
      </x:c>
      <x:c r="D2" s="20" t="b">
        <x:v>1</x:v>
      </x:c>
      <x:c r="E2" s="9" t="n">
        <x:v>0</x:v>
      </x:c>
      <x:c r="F2" s="9" t="n">
        <x:v>1</x:v>
      </x:c>
      <x:c r="G2" s="9" t="n">
        <x:v>2587</x:v>
      </x:c>
      <x:c r="H2" s="9" t="n">
        <x:v>2587</x:v>
      </x:c>
      <x:c r="I2" s="15" t="n">
        <x:v>288.77333219473593</x:v>
      </x:c>
      <x:c r="J2" s="15" t="n">
        <x:v>0.1116247901796428</x:v>
      </x:c>
      <x:c r="K2" s="15" t="n">
        <x:v>0.0750774339356306</x:v>
      </x:c>
      <x:c r="L2" s="15" t="n">
        <x:v>1.4867954900449432</x:v>
      </x:c>
      <x:c r="M2" s="15" t="n">
        <x:v>0.4691162306035377</x:v>
      </x:c>
      <x:c r="N2" s="15" t="n">
        <x:v>-0.0349519989245065</x:v>
      </x:c>
      <x:c r="O2" s="15" t="n">
        <x:v>0.788007599046868</x:v>
      </x:c>
      <x:c r="P2" s="15" t="n">
        <x:v>0.6737184414934936</x:v>
      </x:c>
      <x:c r="Q2" s="15" t="n">
        <x:v>0.2408455862429234</x:v>
      </x:c>
      <x:c r="R2" s="15" t="n">
        <x:v>0.0950786115412393</x:v>
      </x:c>
      <x:c r="S2" s="15" t="n">
        <x:v>0.0412050357054095</x:v>
      </x:c>
      <x:c r="T2" s="15" t="n">
        <x:v>0.0360249294753294</x:v>
      </x:c>
    </x:row>
    <x:row r="3" ht="36" customHeight="1">
      <x:c r="A3" s="7" t="str">
        <x:v>1/99 truncated-IPW source model + complete-case recalibration</x:v>
      </x:c>
      <x:c r="B3" s="7" t="str">
        <x:v>1/99 truncated-IPW source model</x:v>
      </x:c>
      <x:c r="C3" s="7" t="str">
        <x:v>complete-case recalibration</x:v>
      </x:c>
      <x:c r="D3" s="21" t="b">
        <x:v>0</x:v>
      </x:c>
      <x:c r="E3" s="16" t="n">
        <x:v>0.1526989036600622</x:v>
      </x:c>
      <x:c r="F3" s="16" t="n">
        <x:v>0.8456617538669272</x:v>
      </x:c>
      <x:c r="G3" s="10" t="n">
        <x:v>2587</x:v>
      </x:c>
      <x:c r="H3" s="10" t="n">
        <x:v>2587</x:v>
      </x:c>
      <x:c r="I3" s="16" t="n">
        <x:v>288.77333219473593</x:v>
      </x:c>
      <x:c r="J3" s="16" t="n">
        <x:v>0.1116247901796428</x:v>
      </x:c>
      <x:c r="K3" s="16" t="n">
        <x:v>0.1154443853738819</x:v>
      </x:c>
      <x:c r="L3" s="16" t="n">
        <x:v>0.9669139804255624</x:v>
      </x:c>
      <x:c r="M3" s="16" t="n">
        <x:v>-0.0491433120995256</x:v>
      </x:c>
      <x:c r="N3" s="16" t="n">
        <x:v>-0.1772404445116885</x:v>
      </x:c>
      <x:c r="O3" s="16" t="n">
        <x:v>0.9318236226760566</x:v>
      </x:c>
      <x:c r="P3" s="16" t="n">
        <x:v>0.6737184414934936</x:v>
      </x:c>
      <x:c r="Q3" s="16" t="n">
        <x:v>0.2408455862429234</x:v>
      </x:c>
      <x:c r="R3" s="16" t="n">
        <x:v>0.093623893647576</x:v>
      </x:c>
      <x:c r="S3" s="16" t="n">
        <x:v>0.0558747513049966</x:v>
      </x:c>
      <x:c r="T3" s="16" t="n">
        <x:v>0.0158323570393901</x:v>
      </x:c>
    </x:row>
    <x:row r="4" ht="36" customHeight="1">
      <x:c r="A4" s="3" t="str">
        <x:v>1/99 truncated-IPW source model + 1/99 truncated-IPW recalibration</x:v>
      </x:c>
      <x:c r="B4" s="3" t="str">
        <x:v>1/99 truncated-IPW source model</x:v>
      </x:c>
      <x:c r="C4" s="3" t="str">
        <x:v>1/99 truncated-IPW recalibration</x:v>
      </x:c>
      <x:c r="D4" s="20" t="b">
        <x:v>1</x:v>
      </x:c>
      <x:c r="E4" s="15" t="n">
        <x:v>0.2065683227528089</x:v>
      </x:c>
      <x:c r="F4" s="15" t="n">
        <x:v>0.8909563129251556</x:v>
      </x:c>
      <x:c r="G4" s="9" t="n">
        <x:v>2587</x:v>
      </x:c>
      <x:c r="H4" s="9" t="n">
        <x:v>2587</x:v>
      </x:c>
      <x:c r="I4" s="15" t="n">
        <x:v>288.77333219473593</x:v>
      </x:c>
      <x:c r="J4" s="15" t="n">
        <x:v>0.1116247901796428</x:v>
      </x:c>
      <x:c r="K4" s="15" t="n">
        <x:v>0.1103201272445627</x:v>
      </x:c>
      <x:c r="L4" s="15" t="n">
        <x:v>1.0118261550966838</x:v>
      </x:c>
      <x:c r="M4" s="15" t="n">
        <x:v>0.0050264441923814</x:v>
      </x:c>
      <x:c r="N4" s="15" t="n">
        <x:v>-0.2176516506247723</x:v>
      </x:c>
      <x:c r="O4" s="15" t="n">
        <x:v>0.8844514457276924</x:v>
      </x:c>
      <x:c r="P4" s="15" t="n">
        <x:v>0.6737184414934936</x:v>
      </x:c>
      <x:c r="Q4" s="15" t="n">
        <x:v>0.2408455862429234</x:v>
      </x:c>
      <x:c r="R4" s="15" t="n">
        <x:v>0.0936844148369695</x:v>
      </x:c>
      <x:c r="S4" s="15" t="n">
        <x:v>0.0552644414710283</x:v>
      </x:c>
      <x:c r="T4" s="15" t="n">
        <x:v>0.016299832478097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9" hidden="0" customWidth="1"/>
    <x:col min="5" max="5" width="25" hidden="0" customWidth="1"/>
    <x:col min="6" max="6" width="25" hidden="0" customWidth="1"/>
    <x:col min="7" max="7" width="25" hidden="0" customWidth="1"/>
    <x:col min="8" max="8" width="33" hidden="0" customWidth="1"/>
    <x:col min="9" max="9" width="33" hidden="0" customWidth="1"/>
    <x:col min="10" max="10" width="33" hidden="0" customWidth="1"/>
    <x:col min="11" max="11" width="34" hidden="0" customWidth="1"/>
    <x:col min="12" max="12" width="34" hidden="0" customWidth="1"/>
    <x:col min="13" max="13" width="34" hidden="0" customWidth="1"/>
    <x:col min="14" max="14" width="35" hidden="0" customWidth="1"/>
    <x:col min="15" max="15" width="35" hidden="0" customWidth="1"/>
    <x:col min="16" max="16" width="35" hidden="0" customWidth="1"/>
    <x:col min="17" max="17" width="30" hidden="0" customWidth="1"/>
    <x:col min="18" max="18" width="30" hidden="0" customWidth="1"/>
    <x:col min="19" max="19" width="30" hidden="0" customWidth="1"/>
    <x:col min="20" max="20" width="48" hidden="0" customWidth="1"/>
    <x:col min="21" max="21" width="48" hidden="0" customWidth="1"/>
    <x:col min="22" max="22" width="48" hidden="0" customWidth="1"/>
  </x:cols>
  <x:sheetData>
    <x:row r="1" ht="64" customHeight="1">
      <x:c r="A1" s="6" t="str">
        <x:v>threshold_percent</x:v>
      </x:c>
      <x:c r="B1" s="6" t="str">
        <x:v>alerts_estimate</x:v>
      </x:c>
      <x:c r="C1" s="6" t="str">
        <x:v>alerts_ci_lower</x:v>
      </x:c>
      <x:c r="D1" s="6" t="str">
        <x:v>alerts_ci_upper</x:v>
      </x:c>
      <x:c r="E1" s="6" t="str">
        <x:v>alerts_per_1000_estimate</x:v>
      </x:c>
      <x:c r="F1" s="6" t="str">
        <x:v>alerts_per_1000_ci_lower</x:v>
      </x:c>
      <x:c r="G1" s="6" t="str">
        <x:v>alerts_per_1000_ci_upper</x:v>
      </x:c>
      <x:c r="H1" s="6" t="str">
        <x:v>true_positives_per_1000_estimate</x:v>
      </x:c>
      <x:c r="I1" s="6" t="str">
        <x:v>true_positives_per_1000_ci_lower</x:v>
      </x:c>
      <x:c r="J1" s="6" t="str">
        <x:v>true_positives_per_1000_ci_upper</x:v>
      </x:c>
      <x:c r="K1" s="6" t="str">
        <x:v>false_positives_per_1000_estimate</x:v>
      </x:c>
      <x:c r="L1" s="6" t="str">
        <x:v>false_positives_per_1000_ci_lower</x:v>
      </x:c>
      <x:c r="M1" s="6" t="str">
        <x:v>false_positives_per_1000_ci_upper</x:v>
      </x:c>
      <x:c r="N1" s="6" t="str">
        <x:v>positive_predictive_value_estimate</x:v>
      </x:c>
      <x:c r="O1" s="6" t="str">
        <x:v>positive_predictive_value_ci_lower</x:v>
      </x:c>
      <x:c r="P1" s="6" t="str">
        <x:v>positive_predictive_value_ci_upper</x:v>
      </x:c>
      <x:c r="Q1" s="6" t="str">
        <x:v>absolute_net_benefit_estimate</x:v>
      </x:c>
      <x:c r="R1" s="6" t="str">
        <x:v>absolute_net_benefit_ci_lower</x:v>
      </x:c>
      <x:c r="S1" s="6" t="str">
        <x:v>absolute_net_benefit_ci_upper</x:v>
      </x:c>
      <x:c r="T1" s="6" t="str">
        <x:v>incremental_net_benefit_vs_better_default_estimate</x:v>
      </x:c>
      <x:c r="U1" s="6" t="str">
        <x:v>incremental_net_benefit_vs_better_default_ci_lower</x:v>
      </x:c>
      <x:c r="V1" s="6" t="str">
        <x:v>incremental_net_benefit_vs_better_default_ci_upper</x:v>
      </x:c>
    </x:row>
    <x:row r="2" ht="30" customHeight="1">
      <x:c r="A2" s="9" t="n">
        <x:v>5</x:v>
      </x:c>
      <x:c r="B2" s="9" t="n">
        <x:v>2309</x:v>
      </x:c>
      <x:c r="C2" s="9" t="n">
        <x:v>1954</x:v>
      </x:c>
      <x:c r="D2" s="9" t="n">
        <x:v>2513</x:v>
      </x:c>
      <x:c r="E2" s="15" t="n">
        <x:v>892.5396211828372</x:v>
      </x:c>
      <x:c r="F2" s="15" t="n">
        <x:v>755.3150367220719</x:v>
      </x:c>
      <x:c r="G2" s="15" t="n">
        <x:v>971.395438732122</x:v>
      </x:c>
      <x:c r="H2" s="15" t="n">
        <x:v>108.37609382151292</x:v>
      </x:c>
      <x:c r="I2" s="15" t="n">
        <x:v>92.46511194073202</x:v>
      </x:c>
      <x:c r="J2" s="15" t="n">
        <x:v>119.96380042133556</x:v>
      </x:c>
      <x:c r="K2" s="15" t="n">
        <x:v>784.1635273613243</x:v>
      </x:c>
      <x:c r="L2" s="15" t="n">
        <x:v>653.3931675414761</x:v>
      </x:c>
      <x:c r="M2" s="15" t="n">
        <x:v>860.8613928685568</x:v>
      </x:c>
      <x:c r="N2" s="15" t="n">
        <x:v>0.1214244065466669</x:v>
      </x:c>
      <x:c r="O2" s="15" t="n">
        <x:v>0.1047457449764381</x:v>
      </x:c>
      <x:c r="P2" s="15" t="n">
        <x:v>0.1399189091020226</x:v>
      </x:c>
      <x:c r="Q2" s="15" t="n">
        <x:v>0.0671043292235484</x:v>
      </x:c>
      <x:c r="R2" s="15" t="n">
        <x:v>0.0527704650966701</x:v>
      </x:c>
      <x:c r="S2" s="15" t="n">
        <x:v>0.0791442133184659</x:v>
      </x:c>
      <x:c r="T2" s="15" t="n">
        <x:v>0.0022361290344507</x:v>
      </x:c>
      <x:c r="U2" s="15" t="n">
        <x:v>-0.0028143989981388</x:v>
      </x:c>
      <x:c r="V2" s="15" t="n">
        <x:v>0.0046218630881126</x:v>
      </x:c>
    </x:row>
    <x:row r="3" ht="30" customHeight="1">
      <x:c r="A3" s="10" t="n">
        <x:v>10</x:v>
      </x:c>
      <x:c r="B3" s="10" t="n">
        <x:v>980</x:v>
      </x:c>
      <x:c r="C3" s="16" t="n">
        <x:v>754.975</x:v>
      </x:c>
      <x:c r="D3" s="16" t="n">
        <x:v>1259.05</x:v>
      </x:c>
      <x:c r="E3" s="16" t="n">
        <x:v>378.81716273676074</x:v>
      </x:c>
      <x:c r="F3" s="16" t="n">
        <x:v>291.83417085427135</x:v>
      </x:c>
      <x:c r="G3" s="16" t="n">
        <x:v>486.6834170854271</x:v>
      </x:c>
      <x:c r="H3" s="16" t="n">
        <x:v>68.6190816611225</x:v>
      </x:c>
      <x:c r="I3" s="16" t="n">
        <x:v>53.33777129233868</x:v>
      </x:c>
      <x:c r="J3" s="16" t="n">
        <x:v>83.58457185119481</x:v>
      </x:c>
      <x:c r="K3" s="16" t="n">
        <x:v>310.19808107563824</x:v>
      </x:c>
      <x:c r="L3" s="16" t="n">
        <x:v>233.7784949634782</x:v>
      </x:c>
      <x:c r="M3" s="16" t="n">
        <x:v>405.9842809795066</x:v>
      </x:c>
      <x:c r="N3" s="16" t="n">
        <x:v>0.1811403716911468</x:v>
      </x:c>
      <x:c r="O3" s="16" t="n">
        <x:v>0.1485853978247464</x:v>
      </x:c>
      <x:c r="P3" s="16" t="n">
        <x:v>0.2134138517158126</x:v>
      </x:c>
      <x:c r="Q3" s="16" t="n">
        <x:v>0.0341526282082738</x:v>
      </x:c>
      <x:c r="R3" s="16" t="n">
        <x:v>0.022491006771635</x:v>
      </x:c>
      <x:c r="S3" s="16" t="n">
        <x:v>0.0446223647333119</x:v>
      </x:c>
      <x:c r="T3" s="16" t="n">
        <x:v>0.0212361946753373</x:v>
      </x:c>
      <x:c r="U3" s="16" t="n">
        <x:v>0.0101372801942285</x:v>
      </x:c>
      <x:c r="V3" s="16" t="n">
        <x:v>0.0297003960146643</x:v>
      </x:c>
    </x:row>
    <x:row r="4" ht="36" customHeight="1">
      <x:c r="A4" s="9" t="n">
        <x:v>20</x:v>
      </x:c>
      <x:c r="B4" s="9" t="n">
        <x:v>226</x:v>
      </x:c>
      <x:c r="C4" s="9" t="n">
        <x:v>168</x:v>
      </x:c>
      <x:c r="D4" s="15" t="n">
        <x:v>298.04999999999995</x:v>
      </x:c>
      <x:c r="E4" s="15" t="n">
        <x:v>87.35987630459992</x:v>
      </x:c>
      <x:c r="F4" s="15" t="n">
        <x:v>64.94008504058755</x:v>
      </x:c>
      <x:c r="G4" s="15" t="n">
        <x:v>115.21066872825664</x:v>
      </x:c>
      <x:c r="H4" s="15" t="n">
        <x:v>26.970013446427384</x:v>
      </x:c>
      <x:c r="I4" s="15" t="n">
        <x:v>20.03774679909531</x:v>
      </x:c>
      <x:c r="J4" s="15" t="n">
        <x:v>34.959674811283925</x:v>
      </x:c>
      <x:c r="K4" s="15" t="n">
        <x:v>60.38986285817254</x:v>
      </x:c>
      <x:c r="L4" s="15" t="n">
        <x:v>41.24080186194784</x:v>
      </x:c>
      <x:c r="M4" s="15" t="n">
        <x:v>83.82852091934971</x:v>
      </x:c>
      <x:c r="N4" s="15" t="n">
        <x:v>0.3087231185217152</x:v>
      </x:c>
      <x:c r="O4" s="15" t="n">
        <x:v>0.2435968711794014</x:v>
      </x:c>
      <x:c r="P4" s="15" t="n">
        <x:v>0.3880915073148203</x:v>
      </x:c>
      <x:c r="Q4" s="15" t="n">
        <x:v>0.0118725477318842</x:v>
      </x:c>
      <x:c r="R4" s="15" t="n">
        <x:v>0.0053775003885063</x:v>
      </x:c>
      <x:c r="S4" s="15" t="n">
        <x:v>0.019808521899096</x:v>
      </x:c>
      <x:c r="T4" s="15" t="n">
        <x:v>0.0118725477318842</x:v>
      </x:c>
      <x:c r="U4" s="15" t="n">
        <x:v>0.0053775003885063</x:v>
      </x:c>
      <x:c r="V4" s="15" t="n">
        <x:v>0.019808521899096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40" customHeight="1">
      <x:c r="A1" s="22" t="str">
        <x:v>Table S27. Post hoc sensitivity to same-timestamp baseline creatinine selection</x:v>
      </x:c>
      <x:c r="B1" s="22"/>
      <x:c r="C1" s="22"/>
      <x:c r="D1" s="22"/>
    </x:row>
    <x:row r="2" ht="9" customHeight="1">
      <x:c r="A2" s="23"/>
      <x:c r="B2" s="23"/>
      <x:c r="C2" s="23"/>
      <x:c r="D2" s="23"/>
    </x:row>
    <x:row r="3" ht="30" customHeight="1">
      <x:c r="A3" s="24" t="str">
        <x:v>Metric</x:v>
      </x:c>
      <x:c r="B3" s="24" t="str">
        <x:v>Original file order</x:v>
      </x:c>
      <x:c r="C3" s="24" t="str">
        <x:v>Minimum tied value</x:v>
      </x:c>
      <x:c r="D3" s="24" t="str">
        <x:v>Maximum tied value</x:v>
      </x:c>
    </x:row>
    <x:row r="4" ht="24" customHeight="1">
      <x:c r="A4" s="25" t="str">
        <x:v>Source cohort (INSPIRE), n</x:v>
      </x:c>
      <x:c r="B4" s="26" t="n">
        <x:v>33394</x:v>
      </x:c>
      <x:c r="C4" s="26" t="n">
        <x:v>33394</x:v>
      </x:c>
      <x:c r="D4" s="26" t="n">
        <x:v>33394</x:v>
      </x:c>
    </x:row>
    <x:row r="5" ht="24" customHeight="1">
      <x:c r="A5" s="27" t="str">
        <x:v>Update cohort (MOVER 2021), n</x:v>
      </x:c>
      <x:c r="B5" s="28" t="n">
        <x:v>2802</x:v>
      </x:c>
      <x:c r="C5" s="28" t="n">
        <x:v>2802</x:v>
      </x:c>
      <x:c r="D5" s="28" t="n">
        <x:v>2802</x:v>
      </x:c>
    </x:row>
    <x:row r="6" ht="24" customHeight="1">
      <x:c r="A6" s="25" t="str">
        <x:v>Target cohort (MOVER 2022), n</x:v>
      </x:c>
      <x:c r="B6" s="26" t="n">
        <x:v>2587</x:v>
      </x:c>
      <x:c r="C6" s="26" t="n">
        <x:v>2587</x:v>
      </x:c>
      <x:c r="D6" s="26" t="n">
        <x:v>2586</x:v>
      </x:c>
    </x:row>
    <x:row r="7" ht="24" customHeight="1">
      <x:c r="A7" s="27" t="str">
        <x:v>Source observed AKI events, n</x:v>
      </x:c>
      <x:c r="B7" s="28" t="n">
        <x:v>1680</x:v>
      </x:c>
      <x:c r="C7" s="28" t="n">
        <x:v>1680</x:v>
      </x:c>
      <x:c r="D7" s="28" t="n">
        <x:v>1679</x:v>
      </x:c>
    </x:row>
    <x:row r="8" ht="24" customHeight="1">
      <x:c r="A8" s="25" t="str">
        <x:v>Target with observed outcome, n</x:v>
      </x:c>
      <x:c r="B8" s="26" t="n">
        <x:v>2033</x:v>
      </x:c>
      <x:c r="C8" s="26" t="n">
        <x:v>2033</x:v>
      </x:c>
      <x:c r="D8" s="26" t="n">
        <x:v>2033</x:v>
      </x:c>
    </x:row>
    <x:row r="9" ht="24" customHeight="1">
      <x:c r="A9" s="27" t="str">
        <x:v>Target observed AKI events, n</x:v>
      </x:c>
      <x:c r="B9" s="28" t="n">
        <x:v>259</x:v>
      </x:c>
      <x:c r="C9" s="28" t="n">
        <x:v>259</x:v>
      </x:c>
      <x:c r="D9" s="28" t="n">
        <x:v>259</x:v>
      </x:c>
    </x:row>
    <x:row r="10" ht="24" customHeight="1">
      <x:c r="A10" s="25" t="str">
        <x:v>Observed-to-expected ratio (O/E)</x:v>
      </x:c>
      <x:c r="B10" s="29" t="n">
        <x:v>1.0118261550966836</x:v>
      </x:c>
      <x:c r="C10" s="29" t="n">
        <x:v>1.0116180148173597</x:v>
      </x:c>
      <x:c r="D10" s="29" t="n">
        <x:v>1.0128405753536005</x:v>
      </x:c>
    </x:row>
    <x:row r="11" ht="24" customHeight="1">
      <x:c r="A11" s="27" t="str">
        <x:v>Calibration slope</x:v>
      </x:c>
      <x:c r="B11" s="30" t="n">
        <x:v>0.8844514457276924</x:v>
      </x:c>
      <x:c r="C11" s="30" t="n">
        <x:v>0.8900046211378001</x:v>
      </x:c>
      <x:c r="D11" s="30" t="n">
        <x:v>0.8841289103498741</x:v>
      </x:c>
    </x:row>
    <x:row r="12" ht="24" customHeight="1">
      <x:c r="A12" s="25" t="str">
        <x:v>Area under the ROC curve (AUROC)</x:v>
      </x:c>
      <x:c r="B12" s="29" t="n">
        <x:v>0.6737184414934936</x:v>
      </x:c>
      <x:c r="C12" s="29" t="n">
        <x:v>0.6752448696244788</x:v>
      </x:c>
      <x:c r="D12" s="29" t="n">
        <x:v>0.6746055777274303</x:v>
      </x:c>
    </x:row>
    <x:row r="13" ht="24" customHeight="1">
      <x:c r="A13" s="27" t="str">
        <x:v>Brier score</x:v>
      </x:c>
      <x:c r="B13" s="31" t="n">
        <x:v>0.09368441483696958</x:v>
      </x:c>
      <x:c r="C13" s="31" t="n">
        <x:v>0.0936254763456643</x:v>
      </x:c>
      <x:c r="D13" s="31" t="n">
        <x:v>0.09376949240764064</x:v>
      </x:c>
    </x:row>
    <x:row r="14" ht="24" customHeight="1">
      <x:c r="A14" s="25" t="str">
        <x:v>Alerts at the 10% threshold, n</x:v>
      </x:c>
      <x:c r="B14" s="26" t="n">
        <x:v>980</x:v>
      </x:c>
      <x:c r="C14" s="26" t="n">
        <x:v>980</x:v>
      </x:c>
      <x:c r="D14" s="26" t="n">
        <x:v>986</x:v>
      </x:c>
    </x:row>
    <x:row r="15" ht="30" customHeight="1">
      <x:c r="A15" s="32" t="str">
        <x:v>Alert proportion at the 10% threshold</x:v>
      </x:c>
      <x:c r="B15" s="33" t="n">
        <x:f>B14/B6</x:f>
        <x:v>0.37881716273676075</x:v>
      </x:c>
      <x:c r="C15" s="33" t="n">
        <x:f>C14/C6</x:f>
        <x:v>0.37881716273676075</x:v>
      </x:c>
      <x:c r="D15" s="33" t="n">
        <x:f>D14/D6</x:f>
        <x:v>0.38128383604021654</x:v>
      </x:c>
    </x:row>
    <x:row r="16">
      <x:c r="A16" s="23"/>
      <x:c r="B16" s="23"/>
      <x:c r="C16" s="23"/>
      <x:c r="D16" s="23"/>
    </x:row>
    <x:row r="17">
      <x:c r="A17" s="34" t="str">
        <x:v>Notes</x:v>
      </x:c>
      <x:c r="B17" s="23"/>
      <x:c r="C17" s="23"/>
      <x:c r="D17" s="23"/>
    </x:row>
    <x:row r="18" ht="45" customHeight="1">
      <x:c r="A18" s="25" t="str">
        <x:v>Primary selection uses the first valid row in original released-file order at the latest eligible preoperative timestamp. This is a reproducible technical convention, not evidence of clinical correctness. No clinical adjudication was performed.</x:v>
      </x:c>
      <x:c r="B18" s="25"/>
      <x:c r="C18" s="25"/>
      <x:c r="D18" s="25"/>
    </x:row>
    <x:row r="19" ht="32" customHeight="1">
      <x:c r="A19" s="25" t="str">
        <x:v>The audit identified 16 same-timestamp conflicts: 12 in INSPIRE, 3 in MOVER 2021, and 1 in MOVER 2022. Minimum and maximum tied values define the two post hoc sensitivity scenarios.</x:v>
      </x:c>
      <x:c r="B19" s="25"/>
      <x:c r="C19" s="25"/>
      <x:c r="D19" s="25"/>
    </x:row>
    <x:row r="20" ht="46" customHeight="1">
      <x:c r="A20" s="25" t="str">
        <x:v>Under the maximum scenario, one INSPIRE AKI label changes to non-AKI and source observed events decrease from 1,680 to 1,679. One target patient with an unobserved outcome is excluded after baseline creatinine &gt;=4 mg/dL is rechecked, reducing target n from 2,587 to 2,586.</x:v>
      </x:c>
      <x:c r="B20" s="25"/>
      <x:c r="C20" s="25"/>
      <x:c r="D20" s="25"/>
    </x:row>
    <x:row r="21" ht="32" customHeight="1">
      <x:c r="A21" s="25" t="str">
        <x:v>All scenarios start from the originally retained cohort. Potential new entrants among previously excluded patients were not assessed. Target observed-outcome n remains 2,033, with 259 observed AKI events, in all three scenarios.</x:v>
      </x:c>
      <x:c r="B21" s="25"/>
      <x:c r="C21" s="25"/>
      <x:c r="D21" s="25"/>
    </x:row>
    <x:row r="22" ht="46" customHeight="1">
      <x:c r="A22" s="25" t="str">
        <x:v>All outcome-observation and auxiliary nuisance models, the source prediction model, and recalibration were refitted for point estimates only. Bootstrap intervals and inverse-probability-weighted (IPW) versus complete-case (CC) contrasts were not rerun.</x:v>
      </x:c>
      <x:c r="B22" s="25"/>
      <x:c r="C22" s="25"/>
      <x:c r="D22" s="25"/>
    </x:row>
    <x:row r="23" ht="32" customHeight="1">
      <x:c r="A23" s="25" t="str">
        <x:v>Minimum and maximum are specified scenarios, not statistical intervals or bounds on model performance. Alert proportions use each scenario's full target-cohort denominator, including patients without an observed outcome.</x:v>
      </x:c>
      <x:c r="B23" s="25"/>
      <x:c r="C23" s="25"/>
      <x:c r="D23" s="25"/>
    </x:row>
    <x:row r="24" ht="32" customHeight="1">
      <x:c r="A24" s="25" t="str">
        <x:v>Source files: 04_同时间戳基线取值敏感性.csv; 05_取值敏感性说明.json. Raw source columns and unrounded numeric values are retained in S27_numeric.</x:v>
      </x:c>
      <x:c r="B24" s="25"/>
      <x:c r="C24" s="25"/>
      <x:c r="D24" s="25"/>
    </x:row>
    <x:row r="25" ht="24" customHeight="1">
      <x:c r="A25" s="25" t="str">
        <x:v>AKI, acute kidney injury. ROC, receiver operating characteristic. All displayed model-performance metrics are point estimates.</x:v>
      </x:c>
      <x:c r="B25" s="25"/>
      <x:c r="C25" s="25"/>
      <x:c r="D25" s="25"/>
    </x:row>
    <x:row r="26" ht="24" customHeight="1">
      <x:c r="A26" s="25" t="str">
        <x:v>Target performance uses the canonical full-population MAR estimators.</x:v>
      </x:c>
      <x:c r="B26" s="25"/>
      <x:c r="C26" s="25"/>
      <x:c r="D26" s="25"/>
    </x:row>
    <x:row r="27">
      <x:c r="A27" s="23"/>
      <x:c r="B27" s="23"/>
      <x:c r="C27" s="23"/>
      <x:c r="D27" s="23"/>
    </x:row>
    <x:row r="28">
      <x:c r="A28" s="23"/>
      <x:c r="B28" s="23"/>
      <x:c r="C28" s="23"/>
      <x:c r="D28" s="23"/>
    </x:row>
    <x:row r="29">
      <x:c r="A29" s="23"/>
      <x:c r="B29" s="23"/>
      <x:c r="C29" s="23"/>
      <x:c r="D29" s="23"/>
    </x:row>
    <x:row r="30">
      <x:c r="A30" s="23"/>
      <x:c r="B30" s="23"/>
      <x:c r="C30" s="23"/>
      <x:c r="D30" s="23"/>
    </x:row>
    <x:row r="31">
      <x:c r="A31" s="23"/>
      <x:c r="B31" s="23"/>
      <x:c r="C31" s="23"/>
      <x:c r="D31" s="23"/>
    </x:row>
  </x:sheetData>
  <x:mergeCells>
    <x:mergeCell ref="A1:D1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29" hidden="0" customWidth="1"/>
    <x:col min="3" max="3" width="44" hidden="0" customWidth="1"/>
    <x:col min="4" max="4" width="40" hidden="0" customWidth="1"/>
    <x:col min="5" max="5" width="40" hidden="0" customWidth="1"/>
    <x:col min="6" max="6" width="4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60" customHeight="1">
      <x:c r="A1" s="24" t="str">
        <x:v>scenario</x:v>
      </x:c>
      <x:c r="B1" s="24" t="str">
        <x:v>baseline_values_changed</x:v>
      </x:c>
      <x:c r="C1" s="24" t="str">
        <x:v>labels_changed_before_eligibility_recheck</x:v>
      </x:c>
      <x:c r="D1" s="24" t="str">
        <x:v>source_removed_at_baseline_recheck</x:v>
      </x:c>
      <x:c r="E1" s="24" t="str">
        <x:v>update_removed_at_baseline_recheck</x:v>
      </x:c>
      <x:c r="F1" s="24" t="str">
        <x:v>target_removed_at_baseline_recheck</x:v>
      </x:c>
      <x:c r="G1" s="24" t="str">
        <x:v>source_n</x:v>
      </x:c>
      <x:c r="H1" s="24" t="str">
        <x:v>update_n</x:v>
      </x:c>
      <x:c r="I1" s="24" t="str">
        <x:v>target_n</x:v>
      </x:c>
      <x:c r="J1" s="24" t="str">
        <x:v>source_events</x:v>
      </x:c>
      <x:c r="K1" s="24" t="str">
        <x:v>update_events</x:v>
      </x:c>
      <x:c r="L1" s="24" t="str">
        <x:v>target_observed_events</x:v>
      </x:c>
      <x:c r="M1" s="24" t="str">
        <x:v>alpha</x:v>
      </x:c>
      <x:c r="N1" s="24" t="str">
        <x:v>beta</x:v>
      </x:c>
      <x:c r="O1" s="24" t="str">
        <x:v>oe_ratio</x:v>
      </x:c>
      <x:c r="P1" s="24" t="str">
        <x:v>calibration_slope</x:v>
      </x:c>
      <x:c r="Q1" s="24" t="str">
        <x:v>auroc</x:v>
      </x:c>
      <x:c r="R1" s="24" t="str">
        <x:v>brier</x:v>
      </x:c>
      <x:c r="S1" s="24" t="str">
        <x:v>alerts_10pct</x:v>
      </x:c>
    </x:row>
    <x:row r="2" ht="25" customHeight="1">
      <x:c r="A2" s="23" t="str">
        <x:v>original_row_order</x:v>
      </x:c>
      <x:c r="B2" s="26" t="n">
        <x:v>0</x:v>
      </x:c>
      <x:c r="C2" s="26" t="n">
        <x:v>0</x:v>
      </x:c>
      <x:c r="D2" s="26" t="n">
        <x:v>0</x:v>
      </x:c>
      <x:c r="E2" s="26" t="n">
        <x:v>0</x:v>
      </x:c>
      <x:c r="F2" s="26" t="n">
        <x:v>0</x:v>
      </x:c>
      <x:c r="G2" s="26" t="n">
        <x:v>33394</x:v>
      </x:c>
      <x:c r="H2" s="26" t="n">
        <x:v>2802</x:v>
      </x:c>
      <x:c r="I2" s="26" t="n">
        <x:v>2587</x:v>
      </x:c>
      <x:c r="J2" s="26" t="n">
        <x:v>1680</x:v>
      </x:c>
      <x:c r="K2" s="26" t="n">
        <x:v>274</x:v>
      </x:c>
      <x:c r="L2" s="26" t="n">
        <x:v>259</x:v>
      </x:c>
      <x:c r="M2" s="29" t="n">
        <x:v>0.20656832275280892</x:v>
      </x:c>
      <x:c r="N2" s="29" t="n">
        <x:v>0.8909563129251556</x:v>
      </x:c>
      <x:c r="O2" s="29" t="n">
        <x:v>1.0118261550966836</x:v>
      </x:c>
      <x:c r="P2" s="29" t="n">
        <x:v>0.8844514457276924</x:v>
      </x:c>
      <x:c r="Q2" s="29" t="n">
        <x:v>0.6737184414934936</x:v>
      </x:c>
      <x:c r="R2" s="35" t="n">
        <x:v>0.09368441483696958</x:v>
      </x:c>
      <x:c r="S2" s="26" t="n">
        <x:v>980</x:v>
      </x:c>
    </x:row>
    <x:row r="3" ht="25" customHeight="1">
      <x:c r="A3" s="36" t="str">
        <x:v>minimum_tied_baseline</x:v>
      </x:c>
      <x:c r="B3" s="28" t="n">
        <x:v>7</x:v>
      </x:c>
      <x:c r="C3" s="28" t="n">
        <x:v>0</x:v>
      </x:c>
      <x:c r="D3" s="28" t="n">
        <x:v>0</x:v>
      </x:c>
      <x:c r="E3" s="28" t="n">
        <x:v>0</x:v>
      </x:c>
      <x:c r="F3" s="28" t="n">
        <x:v>0</x:v>
      </x:c>
      <x:c r="G3" s="28" t="n">
        <x:v>33394</x:v>
      </x:c>
      <x:c r="H3" s="28" t="n">
        <x:v>2802</x:v>
      </x:c>
      <x:c r="I3" s="28" t="n">
        <x:v>2587</x:v>
      </x:c>
      <x:c r="J3" s="28" t="n">
        <x:v>1680</x:v>
      </x:c>
      <x:c r="K3" s="28" t="n">
        <x:v>274</x:v>
      </x:c>
      <x:c r="L3" s="28" t="n">
        <x:v>259</x:v>
      </x:c>
      <x:c r="M3" s="30" t="n">
        <x:v>0.19127984755577931</x:v>
      </x:c>
      <x:c r="N3" s="30" t="n">
        <x:v>0.8864026790001841</x:v>
      </x:c>
      <x:c r="O3" s="30" t="n">
        <x:v>1.0116180148173597</x:v>
      </x:c>
      <x:c r="P3" s="30" t="n">
        <x:v>0.8900046211378001</x:v>
      </x:c>
      <x:c r="Q3" s="30" t="n">
        <x:v>0.6752448696244788</x:v>
      </x:c>
      <x:c r="R3" s="31" t="n">
        <x:v>0.0936254763456643</x:v>
      </x:c>
      <x:c r="S3" s="28" t="n">
        <x:v>980</x:v>
      </x:c>
    </x:row>
    <x:row r="4" ht="25" customHeight="1">
      <x:c r="A4" s="23" t="str">
        <x:v>maximum_tied_baseline</x:v>
      </x:c>
      <x:c r="B4" s="26" t="n">
        <x:v>9</x:v>
      </x:c>
      <x:c r="C4" s="26" t="n">
        <x:v>1</x:v>
      </x:c>
      <x:c r="D4" s="26" t="n">
        <x:v>0</x:v>
      </x:c>
      <x:c r="E4" s="26" t="n">
        <x:v>0</x:v>
      </x:c>
      <x:c r="F4" s="26" t="n">
        <x:v>1</x:v>
      </x:c>
      <x:c r="G4" s="26" t="n">
        <x:v>33394</x:v>
      </x:c>
      <x:c r="H4" s="26" t="n">
        <x:v>2802</x:v>
      </x:c>
      <x:c r="I4" s="26" t="n">
        <x:v>2586</x:v>
      </x:c>
      <x:c r="J4" s="26" t="n">
        <x:v>1679</x:v>
      </x:c>
      <x:c r="K4" s="26" t="n">
        <x:v>274</x:v>
      </x:c>
      <x:c r="L4" s="26" t="n">
        <x:v>259</x:v>
      </x:c>
      <x:c r="M4" s="29" t="n">
        <x:v>0.19405767559577727</x:v>
      </x:c>
      <x:c r="N4" s="29" t="n">
        <x:v>0.8879140779344025</x:v>
      </x:c>
      <x:c r="O4" s="29" t="n">
        <x:v>1.0128405753536005</x:v>
      </x:c>
      <x:c r="P4" s="29" t="n">
        <x:v>0.8841289103498741</x:v>
      </x:c>
      <x:c r="Q4" s="29" t="n">
        <x:v>0.6746055777274303</x:v>
      </x:c>
      <x:c r="R4" s="35" t="n">
        <x:v>0.09376949240764064</x:v>
      </x:c>
      <x:c r="S4" s="26" t="n">
        <x:v>986</x:v>
      </x:c>
    </x:row>
    <x:row r="6" ht="24" customHeight="1">
      <x:c r="A6" s="37" t="str">
        <x:v>Source: 04_同时间戳基线取值敏感性.csv. Numeric types and full source precision are retained; display formatting does not round stored values.</x:v>
      </x:c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</x:row>
  </x:sheetData>
  <x:mergeCells>
    <x:mergeCell ref="A6:S6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3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43" customHeight="1">
      <x:c r="A1" s="44" t="str">
        <x:v>Measure</x:v>
      </x:c>
      <x:c r="B1" s="44" t="str">
        <x:v>INSPIRE</x:v>
      </x:c>
      <x:c r="C1" s="44" t="str">
        <x:v>MOVER 2021</x:v>
      </x:c>
      <x:c r="D1" s="44" t="str">
        <x:v>MOVER 2022</x:v>
      </x:c>
    </x:row>
    <x:row r="2" ht="43" customHeight="1">
      <x:c r="A2" s="45" t="str">
        <x:v>Any postoperative test</x:v>
      </x:c>
      <x:c r="B2" s="45" t="str">
        <x:v>24872/33394 (74.5%) [74.0-74.9]</x:v>
      </x:c>
      <x:c r="C2" s="45" t="str">
        <x:v>2212/2802 (78.9%) [77.4-80.4]</x:v>
      </x:c>
      <x:c r="D2" s="45" t="str">
        <x:v>2033/2587 (78.6%) [77.0-80.1]</x:v>
      </x:c>
    </x:row>
    <x:row r="3" ht="43" customHeight="1">
      <x:c r="A3" s="45" t="str">
        <x:v>No postoperative test</x:v>
      </x:c>
      <x:c r="B3" s="45" t="str">
        <x:v>8522/33394 (25.5%) [25.1-26.0]</x:v>
      </x:c>
      <x:c r="C3" s="45" t="str">
        <x:v>590/2802 (21.1%) [19.6-22.6]</x:v>
      </x:c>
      <x:c r="D3" s="45" t="str">
        <x:v>554/2587 (21.4%) [19.9-23.0]</x:v>
      </x:c>
    </x:row>
    <x:row r="4" ht="43" customHeight="1">
      <x:c r="A4" s="45" t="str">
        <x:v>Test in (0,48] h</x:v>
      </x:c>
      <x:c r="B4" s="45" t="str">
        <x:v>24488/33394 (73.3%) [72.9-73.8]</x:v>
      </x:c>
      <x:c r="C4" s="45" t="str">
        <x:v>2194/2802 (78.3%) [76.7-79.8]</x:v>
      </x:c>
      <x:c r="D4" s="45" t="str">
        <x:v>2018/2587 (78.0%) [76.4-79.6]</x:v>
      </x:c>
    </x:row>
    <x:row r="5" ht="43" customHeight="1">
      <x:c r="A5" s="45" t="str">
        <x:v>Test in (48,168] h before recorded stop</x:v>
      </x:c>
      <x:c r="B5" s="45" t="str">
        <x:v>18498/33394 (55.4%) [54.9-55.9]</x:v>
      </x:c>
      <x:c r="C5" s="45" t="str">
        <x:v>1358/2802 (48.5%) [46.6-50.3]</x:v>
      </x:c>
      <x:c r="D5" s="45" t="str">
        <x:v>1305/2587 (50.4%) [48.5-52.4]</x:v>
      </x:c>
    </x:row>
    <x:row r="6" ht="43" customHeight="1">
      <x:c r="A6" s="45" t="str">
        <x:v>Tests in both early and late windows</x:v>
      </x:c>
      <x:c r="B6" s="45" t="str">
        <x:v>18114/33394 (54.2%) [53.7-54.8]</x:v>
      </x:c>
      <x:c r="C6" s="45" t="str">
        <x:v>1340/2802 (47.8%) [46.0-49.7]</x:v>
      </x:c>
      <x:c r="D6" s="45" t="str">
        <x:v>1290/2587 (49.9%) [47.9-51.8]</x:v>
      </x:c>
    </x:row>
    <x:row r="7" ht="43" customHeight="1">
      <x:c r="A7" s="45" t="str">
        <x:v>Only one distinct testing time</x:v>
      </x:c>
      <x:c r="B7" s="45" t="str">
        <x:v>4040/33394 (12.1%) [11.8-12.5]</x:v>
      </x:c>
      <x:c r="C7" s="45" t="str">
        <x:v>489/2802 (17.5%) [16.1-18.9]</x:v>
      </x:c>
      <x:c r="D7" s="45" t="str">
        <x:v>405/2587 (15.7%) [14.3-17.1]</x:v>
      </x:c>
    </x:row>
    <x:row r="8" ht="43" customHeight="1">
      <x:c r="A8" s="45" t="str">
        <x:v>Algorithmic observation window &lt;48 h</x:v>
      </x:c>
      <x:c r="B8" s="45" t="str">
        <x:v>5317/33394 (15.9%) [15.5-16.3]</x:v>
      </x:c>
      <x:c r="C8" s="45" t="str">
        <x:v>1162/2802 (41.5%) [39.7-43.3]</x:v>
      </x:c>
      <x:c r="D8" s="45" t="str">
        <x:v>979/2587 (37.8%) [36.0-39.7]</x:v>
      </x:c>
    </x:row>
    <x:row r="9" ht="43" customHeight="1">
      <x:c r="A9" s="45" t="str">
        <x:v>Algorithmic observation window &lt;168 h</x:v>
      </x:c>
      <x:c r="B9" s="45" t="str">
        <x:v>21415/33394 (64.1%) [63.6-64.6]</x:v>
      </x:c>
      <x:c r="C9" s="45" t="str">
        <x:v>2149/2802 (76.7%) [75.1-78.2]</x:v>
      </x:c>
      <x:c r="D9" s="45" t="str">
        <x:v>1898/2587 (73.4%) [71.6-75.0]</x:v>
      </x:c>
    </x:row>
    <x:row r="10" ht="43" customHeight="1">
      <x:c r="A10" s="45" t="str">
        <x:v>Discharge stop time missing or unusable</x:v>
      </x:c>
      <x:c r="B10" s="45" t="str">
        <x:v>&lt;5/33394 (suppressed)</x:v>
      </x:c>
      <x:c r="C10" s="45" t="str">
        <x:v>&lt;5/2802 (suppressed)</x:v>
      </x:c>
      <x:c r="D10" s="45" t="str">
        <x:v>&lt;5/2587 (suppressed)</x:v>
      </x:c>
    </x:row>
    <x:row r="11" ht="43" customHeight="1">
      <x:c r="A11" s="45" t="str">
        <x:v>Early test among algorithmic window &gt;=48 h</x:v>
      </x:c>
      <x:c r="B11" s="45" t="str">
        <x:v>22989/28077 (81.9%) [81.4-82.3]</x:v>
      </x:c>
      <x:c r="C11" s="45" t="str">
        <x:v>1590/1640 (97.0%) [96.0-97.7]</x:v>
      </x:c>
      <x:c r="D11" s="45" t="str">
        <x:v>1540/1608 (95.8%) [94.7-96.7]</x:v>
      </x:c>
    </x:row>
    <x:row r="12" ht="43" customHeight="1">
      <x:c r="A12" s="45" t="str">
        <x:v>Late test among algorithmic window &gt;48 h</x:v>
      </x:c>
      <x:c r="B12" s="45" t="str">
        <x:v>18498/28066 (65.9%) [65.4-66.5]</x:v>
      </x:c>
      <x:c r="C12" s="45" t="str">
        <x:v>1358/1640 (82.8%) [80.9-84.6]</x:v>
      </x:c>
      <x:c r="D12" s="45" t="str">
        <x:v>1305/1608 (81.2%) [79.2-83.0]</x:v>
      </x:c>
    </x:row>
    <x:row r="13" ht="43" customHeight="1">
      <x:c r="A13" s="45" t="str">
        <x:v>First test hours among observed</x:v>
      </x:c>
      <x:c r="B13" s="45" t="str">
        <x:v>0.6 (0.3-17.2)</x:v>
      </x:c>
      <x:c r="C13" s="45" t="str">
        <x:v>12.0 (2.1-16.9)</x:v>
      </x:c>
      <x:c r="D13" s="45" t="str">
        <x:v>11.9 (1.9-17.0)</x:v>
      </x:c>
    </x:row>
    <x:row r="14" ht="43" customHeight="1">
      <x:c r="A14" s="45" t="str">
        <x:v>Last test hours among observed</x:v>
      </x:c>
      <x:c r="B14" s="45" t="str">
        <x:v>111.5 (46.9-156.4)</x:v>
      </x:c>
      <x:c r="C14" s="45" t="str">
        <x:v>70.9 (28.7-147.6)</x:v>
      </x:c>
      <x:c r="D14" s="45" t="str">
        <x:v>83.9 (35.6-153.1)</x:v>
      </x:c>
    </x:row>
    <x:row r="15" ht="43" customHeight="1">
      <x:c r="A15" s="45" t="str">
        <x:v>Testing occasions among observed</x:v>
      </x:c>
      <x:c r="B15" s="45" t="str">
        <x:v>3.0 (2.0-5.0)</x:v>
      </x:c>
      <x:c r="C15" s="45" t="str">
        <x:v>4.0 (2.0-7.0)</x:v>
      </x:c>
      <x:c r="D15" s="45" t="str">
        <x:v>4.0 (2.0-7.0)</x:v>
      </x:c>
    </x:row>
    <x:row r="16" ht="43" customHeight="1">
      <x:c r="A16" s="45" t="str">
        <x:v>Elapsed 24 h bins with test among observed</x:v>
      </x:c>
      <x:c r="B16" s="45" t="str">
        <x:v>3.0 (2.0-4.0)</x:v>
      </x:c>
      <x:c r="C16" s="45" t="str">
        <x:v>3.0 (1.0-6.0)</x:v>
      </x:c>
      <x:c r="D16" s="45" t="str">
        <x:v>3.0 (2.0-7.0)</x:v>
      </x:c>
    </x:row>
    <x:row r="17" ht="43" customHeight="1">
      <x:c r="A17" s="45" t="str">
        <x:v>Gap from last test to recorded stop among observed</x:v>
      </x:c>
      <x:c r="B17" s="45" t="str">
        <x:v>22.2 (11.4-39.8)</x:v>
      </x:c>
      <x:c r="C17" s="45" t="str">
        <x:v>9.1 (5.6-13.8)</x:v>
      </x:c>
      <x:c r="D17" s="45" t="str">
        <x:v>9.7 (6.1-14.4)</x:v>
      </x:c>
    </x:row>
    <x:row r="18" ht="43" customHeight="1">
      <x:c r="A18" s="45" t="str">
        <x:v>Observation opportunity hours</x:v>
      </x:c>
      <x:c r="B18" s="45" t="str">
        <x:v>127.6 (61.3-168.0)</x:v>
      </x:c>
      <x:c r="C18" s="45" t="str">
        <x:v>69.7 (22.8-158.9)</x:v>
      </x:c>
      <x:c r="D18" s="45" t="str">
        <x:v>73.8 (24.2-168.0)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72" customHeight="1">
      <x:c r="A1" s="44" t="str">
        <x:v>cohort</x:v>
      </x:c>
      <x:c r="B1" s="44" t="str">
        <x:v>group</x:v>
      </x:c>
      <x:c r="C1" s="44" t="str">
        <x:v>eligible_n</x:v>
      </x:c>
      <x:c r="D1" s="44" t="str">
        <x:v>observed_n</x:v>
      </x:c>
      <x:c r="E1" s="44" t="str">
        <x:v>observed_pct</x:v>
      </x:c>
      <x:c r="F1" s="44" t="str">
        <x:v>first_test_h_median_iqr</x:v>
      </x:c>
      <x:c r="G1" s="44" t="str">
        <x:v>occasions_median_iqr</x:v>
      </x:c>
      <x:c r="H1" s="44" t="str">
        <x:v>opportunity_h_median_iqr</x:v>
      </x:c>
      <x:c r="I1" s="44" t="str">
        <x:v>late_test_n</x:v>
      </x:c>
      <x:c r="J1" s="44" t="str">
        <x:v>late_test_pct</x:v>
      </x:c>
      <x:c r="K1" s="44" t="str">
        <x:v>late_opportunity_n</x:v>
      </x:c>
      <x:c r="L1" s="44" t="str">
        <x:v>late_among_opportunity_n</x:v>
      </x:c>
      <x:c r="M1" s="44" t="str">
        <x:v>late_among_opportunity_pct</x:v>
      </x:c>
      <x:c r="N1" s="44" t="str">
        <x:v>source_risk_min</x:v>
      </x:c>
      <x:c r="O1" s="44" t="str">
        <x:v>source_risk_max</x:v>
      </x:c>
      <x:c r="P1" s="44" t="str">
        <x:v>source_risk_median</x:v>
      </x:c>
    </x:row>
    <x:row r="2" ht="36" customHeight="1">
      <x:c r="A2" s="45" t="str">
        <x:v>INSPIRE</x:v>
      </x:c>
      <x:c r="B2" s="45" t="str">
        <x:v>Q1</x:v>
      </x:c>
      <x:c r="C2" s="45" t="n">
        <x:v>6680</x:v>
      </x:c>
      <x:c r="D2" s="45" t="n">
        <x:v>3092</x:v>
      </x:c>
      <x:c r="E2" s="46" t="n">
        <x:v>46.2874251497006</x:v>
      </x:c>
      <x:c r="F2" s="45" t="str">
        <x:v>13.5 (0.4-36.9)</x:v>
      </x:c>
      <x:c r="G2" s="45" t="str">
        <x:v>2.0 (1.0-3.0)</x:v>
      </x:c>
      <x:c r="H2" s="45" t="str">
        <x:v>59.8 (36.7-107.2)</x:v>
      </x:c>
      <x:c r="I2" s="45" t="n">
        <x:v>1277</x:v>
      </x:c>
      <x:c r="J2" s="46" t="n">
        <x:v>19.11676646706587</x:v>
      </x:c>
      <x:c r="K2" s="45" t="n">
        <x:v>4244</x:v>
      </x:c>
      <x:c r="L2" s="45" t="n">
        <x:v>1277</x:v>
      </x:c>
      <x:c r="M2" s="46" t="n">
        <x:v>30.089538171536283</x:v>
      </x:c>
      <x:c r="N2" s="45" t="n">
        <x:v>0.0100756237961561</x:v>
      </x:c>
      <x:c r="O2" s="45" t="n">
        <x:v>0.0290507191886959</x:v>
      </x:c>
      <x:c r="P2" s="45" t="n">
        <x:v>0.0241914793628104</x:v>
      </x:c>
    </x:row>
    <x:row r="3" ht="36" customHeight="1">
      <x:c r="A3" s="45" t="str">
        <x:v>INSPIRE</x:v>
      </x:c>
      <x:c r="B3" s="45" t="str">
        <x:v>Q2</x:v>
      </x:c>
      <x:c r="C3" s="45" t="n">
        <x:v>6678</x:v>
      </x:c>
      <x:c r="D3" s="45" t="n">
        <x:v>4147</x:v>
      </x:c>
      <x:c r="E3" s="46" t="n">
        <x:v>62.099430967355495</x:v>
      </x:c>
      <x:c r="F3" s="45" t="str">
        <x:v>1.7 (0.3-34.0)</x:v>
      </x:c>
      <x:c r="G3" s="45" t="str">
        <x:v>2.0 (1.0-4.0)</x:v>
      </x:c>
      <x:c r="H3" s="45" t="str">
        <x:v>97.6 (55.0-134.8)</x:v>
      </x:c>
      <x:c r="I3" s="45" t="n">
        <x:v>2506</x:v>
      </x:c>
      <x:c r="J3" s="46" t="n">
        <x:v>37.526205450733755</x:v>
      </x:c>
      <x:c r="K3" s="45" t="n">
        <x:v>5192</x:v>
      </x:c>
      <x:c r="L3" s="45" t="n">
        <x:v>2506</x:v>
      </x:c>
      <x:c r="M3" s="46" t="n">
        <x:v>48.26656394453004</x:v>
      </x:c>
      <x:c r="N3" s="45" t="n">
        <x:v>0.0290544487617087</x:v>
      </x:c>
      <x:c r="O3" s="45" t="n">
        <x:v>0.0395265885604018</x:v>
      </x:c>
      <x:c r="P3" s="45" t="n">
        <x:v>0.0341884715087134</x:v>
      </x:c>
    </x:row>
    <x:row r="4" ht="36" customHeight="1">
      <x:c r="A4" s="45" t="str">
        <x:v>INSPIRE</x:v>
      </x:c>
      <x:c r="B4" s="45" t="str">
        <x:v>Q3</x:v>
      </x:c>
      <x:c r="C4" s="45" t="n">
        <x:v>6679</x:v>
      </x:c>
      <x:c r="D4" s="45" t="n">
        <x:v>5349</x:v>
      </x:c>
      <x:c r="E4" s="46" t="n">
        <x:v>80.08683934720766</x:v>
      </x:c>
      <x:c r="F4" s="45" t="str">
        <x:v>0.6 (0.3-19.9)</x:v>
      </x:c>
      <x:c r="G4" s="45" t="str">
        <x:v>3.0 (2.0-4.0)</x:v>
      </x:c>
      <x:c r="H4" s="45" t="str">
        <x:v>127.8 (79.6-168.0)</x:v>
      </x:c>
      <x:c r="I4" s="45" t="n">
        <x:v>3927</x:v>
      </x:c>
      <x:c r="J4" s="46" t="n">
        <x:v>58.79622698008684</x:v>
      </x:c>
      <x:c r="K4" s="45" t="n">
        <x:v>5903</x:v>
      </x:c>
      <x:c r="L4" s="45" t="n">
        <x:v>3927</x:v>
      </x:c>
      <x:c r="M4" s="46" t="n">
        <x:v>66.52549551075724</x:v>
      </x:c>
      <x:c r="N4" s="45" t="n">
        <x:v>0.0395276806339759</x:v>
      </x:c>
      <x:c r="O4" s="45" t="n">
        <x:v>0.0533838856963738</x:v>
      </x:c>
      <x:c r="P4" s="45" t="n">
        <x:v>0.0456680020760114</x:v>
      </x:c>
    </x:row>
    <x:row r="5" ht="36" customHeight="1">
      <x:c r="A5" s="45" t="str">
        <x:v>INSPIRE</x:v>
      </x:c>
      <x:c r="B5" s="45" t="str">
        <x:v>Q4</x:v>
      </x:c>
      <x:c r="C5" s="45" t="n">
        <x:v>6678</x:v>
      </x:c>
      <x:c r="D5" s="45" t="n">
        <x:v>6001</x:v>
      </x:c>
      <x:c r="E5" s="46" t="n">
        <x:v>89.86223420185684</x:v>
      </x:c>
      <x:c r="F5" s="45" t="str">
        <x:v>0.5 (0.2-2.9)</x:v>
      </x:c>
      <x:c r="G5" s="45" t="str">
        <x:v>4.0 (3.0-5.0)</x:v>
      </x:c>
      <x:c r="H5" s="45" t="str">
        <x:v>168.0 (108.4-168.0)</x:v>
      </x:c>
      <x:c r="I5" s="45" t="n">
        <x:v>5157</x:v>
      </x:c>
      <x:c r="J5" s="46" t="n">
        <x:v>77.22371967654986</x:v>
      </x:c>
      <x:c r="K5" s="45" t="n">
        <x:v>6338</x:v>
      </x:c>
      <x:c r="L5" s="45" t="n">
        <x:v>5157</x:v>
      </x:c>
      <x:c r="M5" s="46" t="n">
        <x:v>81.3663616282739</x:v>
      </x:c>
      <x:c r="N5" s="45" t="n">
        <x:v>0.0533874060632093</x:v>
      </x:c>
      <x:c r="O5" s="45" t="n">
        <x:v>0.0773548156758252</x:v>
      </x:c>
      <x:c r="P5" s="45" t="n">
        <x:v>0.0633895471097351</x:v>
      </x:c>
    </x:row>
    <x:row r="6" ht="36" customHeight="1">
      <x:c r="A6" s="45" t="str">
        <x:v>INSPIRE</x:v>
      </x:c>
      <x:c r="B6" s="45" t="str">
        <x:v>Q5</x:v>
      </x:c>
      <x:c r="C6" s="45" t="n">
        <x:v>6679</x:v>
      </x:c>
      <x:c r="D6" s="45" t="n">
        <x:v>6283</x:v>
      </x:c>
      <x:c r="E6" s="46" t="n">
        <x:v>94.0709687078904</x:v>
      </x:c>
      <x:c r="F6" s="45" t="str">
        <x:v>0.5 (0.3-1.1)</x:v>
      </x:c>
      <x:c r="G6" s="45" t="str">
        <x:v>5.0 (3.0-6.0)</x:v>
      </x:c>
      <x:c r="H6" s="45" t="str">
        <x:v>168.0 (132.0-168.0)</x:v>
      </x:c>
      <x:c r="I6" s="45" t="n">
        <x:v>5631</x:v>
      </x:c>
      <x:c r="J6" s="46" t="n">
        <x:v>84.30902829764935</x:v>
      </x:c>
      <x:c r="K6" s="45" t="n">
        <x:v>6389</x:v>
      </x:c>
      <x:c r="L6" s="45" t="n">
        <x:v>5631</x:v>
      </x:c>
      <x:c r="M6" s="46" t="n">
        <x:v>88.13585850680857</x:v>
      </x:c>
      <x:c r="N6" s="45" t="n">
        <x:v>0.0773603100985055</x:v>
      </x:c>
      <x:c r="O6" s="45" t="n">
        <x:v>0.4905202777474402</x:v>
      </x:c>
      <x:c r="P6" s="45" t="n">
        <x:v>0.100390024502758</x:v>
      </x:c>
    </x:row>
    <x:row r="7" ht="36" customHeight="1">
      <x:c r="A7" s="45" t="str">
        <x:v>MOVER 2021</x:v>
      </x:c>
      <x:c r="B7" s="45" t="str">
        <x:v>Q1</x:v>
      </x:c>
      <x:c r="C7" s="45" t="n">
        <x:v>561</x:v>
      </x:c>
      <x:c r="D7" s="45" t="n">
        <x:v>352</x:v>
      </x:c>
      <x:c r="E7" s="46" t="n">
        <x:v>62.74509803921568</x:v>
      </x:c>
      <x:c r="F7" s="45" t="str">
        <x:v>14.8 (10.4-18.5)</x:v>
      </x:c>
      <x:c r="G7" s="45" t="str">
        <x:v>2.0 (1.0-6.0)</x:v>
      </x:c>
      <x:c r="H7" s="45" t="str">
        <x:v>26.7 (8.0-81.5)</x:v>
      </x:c>
      <x:c r="I7" s="45" t="n">
        <x:v>155</x:v>
      </x:c>
      <x:c r="J7" s="46" t="n">
        <x:v>27.629233511586452</x:v>
      </x:c>
      <x:c r="K7" s="45" t="n">
        <x:v>208</x:v>
      </x:c>
      <x:c r="L7" s="45" t="n">
        <x:v>155</x:v>
      </x:c>
      <x:c r="M7" s="46" t="n">
        <x:v>74.51923076923077</x:v>
      </x:c>
      <x:c r="N7" s="45" t="n">
        <x:v>0.013229173846128</x:v>
      </x:c>
      <x:c r="O7" s="45" t="n">
        <x:v>0.0348095363041429</x:v>
      </x:c>
      <x:c r="P7" s="45" t="n">
        <x:v>0.0281031008803303</x:v>
      </x:c>
    </x:row>
    <x:row r="8" ht="36" customHeight="1">
      <x:c r="A8" s="45" t="str">
        <x:v>MOVER 2021</x:v>
      </x:c>
      <x:c r="B8" s="45" t="str">
        <x:v>Q2</x:v>
      </x:c>
      <x:c r="C8" s="45" t="n">
        <x:v>560</x:v>
      </x:c>
      <x:c r="D8" s="45" t="n">
        <x:v>421</x:v>
      </x:c>
      <x:c r="E8" s="46" t="n">
        <x:v>75.17857142857143</x:v>
      </x:c>
      <x:c r="F8" s="45" t="str">
        <x:v>14.1 (5.8-18.8)</x:v>
      </x:c>
      <x:c r="G8" s="45" t="str">
        <x:v>3.0 (1.0-6.0)</x:v>
      </x:c>
      <x:c r="H8" s="45" t="str">
        <x:v>51.8 (20.8-123.5)</x:v>
      </x:c>
      <x:c r="I8" s="45" t="n">
        <x:v>244</x:v>
      </x:c>
      <x:c r="J8" s="46" t="n">
        <x:v>43.57142857142857</x:v>
      </x:c>
      <x:c r="K8" s="45" t="n">
        <x:v>304</x:v>
      </x:c>
      <x:c r="L8" s="45" t="n">
        <x:v>244</x:v>
      </x:c>
      <x:c r="M8" s="46" t="n">
        <x:v>80.26315789473685</x:v>
      </x:c>
      <x:c r="N8" s="45" t="n">
        <x:v>0.0348101958269405</x:v>
      </x:c>
      <x:c r="O8" s="45" t="n">
        <x:v>0.0473511350641941</x:v>
      </x:c>
      <x:c r="P8" s="45" t="n">
        <x:v>0.0411183228784417</x:v>
      </x:c>
    </x:row>
    <x:row r="9" ht="36" customHeight="1">
      <x:c r="A9" s="45" t="str">
        <x:v>MOVER 2021</x:v>
      </x:c>
      <x:c r="B9" s="45" t="str">
        <x:v>Q3</x:v>
      </x:c>
      <x:c r="C9" s="45" t="n">
        <x:v>560</x:v>
      </x:c>
      <x:c r="D9" s="45" t="n">
        <x:v>452</x:v>
      </x:c>
      <x:c r="E9" s="46" t="n">
        <x:v>80.71428571428572</x:v>
      </x:c>
      <x:c r="F9" s="45" t="str">
        <x:v>11.9 (2.2-16.4)</x:v>
      </x:c>
      <x:c r="G9" s="45" t="str">
        <x:v>4.0 (2.0-7.0)</x:v>
      </x:c>
      <x:c r="H9" s="45" t="str">
        <x:v>72.0 (24.2-153.6)</x:v>
      </x:c>
      <x:c r="I9" s="45" t="n">
        <x:v>274</x:v>
      </x:c>
      <x:c r="J9" s="46" t="n">
        <x:v>48.92857142857142</x:v>
      </x:c>
      <x:c r="K9" s="45" t="n">
        <x:v>335</x:v>
      </x:c>
      <x:c r="L9" s="45" t="n">
        <x:v>274</x:v>
      </x:c>
      <x:c r="M9" s="46" t="n">
        <x:v>81.7910447761194</x:v>
      </x:c>
      <x:c r="N9" s="45" t="n">
        <x:v>0.0473710792624394</x:v>
      </x:c>
      <x:c r="O9" s="45" t="n">
        <x:v>0.0629546882611362</x:v>
      </x:c>
      <x:c r="P9" s="45" t="n">
        <x:v>0.0541763584000627</x:v>
      </x:c>
    </x:row>
    <x:row r="10" ht="36" customHeight="1">
      <x:c r="A10" s="45" t="str">
        <x:v>MOVER 2021</x:v>
      </x:c>
      <x:c r="B10" s="45" t="str">
        <x:v>Q4</x:v>
      </x:c>
      <x:c r="C10" s="45" t="n">
        <x:v>560</x:v>
      </x:c>
      <x:c r="D10" s="45" t="n">
        <x:v>487</x:v>
      </x:c>
      <x:c r="E10" s="46" t="n">
        <x:v>86.96428571428572</x:v>
      </x:c>
      <x:c r="F10" s="45" t="str">
        <x:v>11.2 (1.7-16.2)</x:v>
      </x:c>
      <x:c r="G10" s="45" t="str">
        <x:v>4.0 (2.0-7.0)</x:v>
      </x:c>
      <x:c r="H10" s="45" t="str">
        <x:v>90.5 (31.8-168.0)</x:v>
      </x:c>
      <x:c r="I10" s="45" t="n">
        <x:v>316</x:v>
      </x:c>
      <x:c r="J10" s="46" t="n">
        <x:v>56.42857142857143</x:v>
      </x:c>
      <x:c r="K10" s="45" t="n">
        <x:v>380</x:v>
      </x:c>
      <x:c r="L10" s="45" t="n">
        <x:v>316</x:v>
      </x:c>
      <x:c r="M10" s="46" t="n">
        <x:v>83.15789473684211</x:v>
      </x:c>
      <x:c r="N10" s="45" t="n">
        <x:v>0.0629887185180674</x:v>
      </x:c>
      <x:c r="O10" s="45" t="n">
        <x:v>0.094516440159964</x:v>
      </x:c>
      <x:c r="P10" s="45" t="n">
        <x:v>0.0745543110969903</x:v>
      </x:c>
    </x:row>
    <x:row r="11" ht="36" customHeight="1">
      <x:c r="A11" s="45" t="str">
        <x:v>MOVER 2021</x:v>
      </x:c>
      <x:c r="B11" s="45" t="str">
        <x:v>Q5</x:v>
      </x:c>
      <x:c r="C11" s="45" t="n">
        <x:v>561</x:v>
      </x:c>
      <x:c r="D11" s="45" t="n">
        <x:v>500</x:v>
      </x:c>
      <x:c r="E11" s="46" t="n">
        <x:v>89.12655971479501</x:v>
      </x:c>
      <x:c r="F11" s="45" t="str">
        <x:v>4.2 (1.3-14.1)</x:v>
      </x:c>
      <x:c r="G11" s="45" t="str">
        <x:v>6.0 (3.0-9.0)</x:v>
      </x:c>
      <x:c r="H11" s="45" t="str">
        <x:v>103.8 (45.8-168.0)</x:v>
      </x:c>
      <x:c r="I11" s="45" t="n">
        <x:v>369</x:v>
      </x:c>
      <x:c r="J11" s="46" t="n">
        <x:v>65.77540106951871</x:v>
      </x:c>
      <x:c r="K11" s="45" t="n">
        <x:v>413</x:v>
      </x:c>
      <x:c r="L11" s="45" t="n">
        <x:v>369</x:v>
      </x:c>
      <x:c r="M11" s="46" t="n">
        <x:v>89.34624697336562</x:v>
      </x:c>
      <x:c r="N11" s="45" t="n">
        <x:v>0.0945239399664034</x:v>
      </x:c>
      <x:c r="O11" s="45" t="n">
        <x:v>0.659208861132225</x:v>
      </x:c>
      <x:c r="P11" s="45" t="n">
        <x:v>0.1364987084291481</x:v>
      </x:c>
    </x:row>
    <x:row r="12" ht="36" customHeight="1">
      <x:c r="A12" s="45" t="str">
        <x:v>MOVER 2022</x:v>
      </x:c>
      <x:c r="B12" s="45" t="str">
        <x:v>Q1</x:v>
      </x:c>
      <x:c r="C12" s="45" t="n">
        <x:v>518</x:v>
      </x:c>
      <x:c r="D12" s="45" t="n">
        <x:v>318</x:v>
      </x:c>
      <x:c r="E12" s="46" t="n">
        <x:v>61.38996138996139</x:v>
      </x:c>
      <x:c r="F12" s="45" t="str">
        <x:v>14.9 (9.4-18.8)</x:v>
      </x:c>
      <x:c r="G12" s="45" t="str">
        <x:v>3.0 (1.0-6.0)</x:v>
      </x:c>
      <x:c r="H12" s="45" t="str">
        <x:v>27.5 (8.9-97.0)</x:v>
      </x:c>
      <x:c r="I12" s="45" t="n">
        <x:v>170</x:v>
      </x:c>
      <x:c r="J12" s="46" t="n">
        <x:v>32.818532818532816</x:v>
      </x:c>
      <x:c r="K12" s="45" t="n">
        <x:v>217</x:v>
      </x:c>
      <x:c r="L12" s="45" t="n">
        <x:v>170</x:v>
      </x:c>
      <x:c r="M12" s="46" t="n">
        <x:v>78.3410138248848</x:v>
      </x:c>
      <x:c r="N12" s="45" t="n">
        <x:v>0.0119808142642697</x:v>
      </x:c>
      <x:c r="O12" s="45" t="n">
        <x:v>0.0335709546556225</x:v>
      </x:c>
      <x:c r="P12" s="45" t="n">
        <x:v>0.0276731074858726</x:v>
      </x:c>
    </x:row>
    <x:row r="13" ht="36" customHeight="1">
      <x:c r="A13" s="45" t="str">
        <x:v>MOVER 2022</x:v>
      </x:c>
      <x:c r="B13" s="45" t="str">
        <x:v>Q2</x:v>
      </x:c>
      <x:c r="C13" s="45" t="n">
        <x:v>517</x:v>
      </x:c>
      <x:c r="D13" s="45" t="n">
        <x:v>379</x:v>
      </x:c>
      <x:c r="E13" s="46" t="n">
        <x:v>73.30754352030948</x:v>
      </x:c>
      <x:c r="F13" s="45" t="str">
        <x:v>14.4 (8.4-18.3)</x:v>
      </x:c>
      <x:c r="G13" s="45" t="str">
        <x:v>3.0 (1.0-6.0)</x:v>
      </x:c>
      <x:c r="H13" s="45" t="str">
        <x:v>55.2 (21.4-126.7)</x:v>
      </x:c>
      <x:c r="I13" s="45" t="n">
        <x:v>210</x:v>
      </x:c>
      <x:c r="J13" s="46" t="n">
        <x:v>40.61895551257253</x:v>
      </x:c>
      <x:c r="K13" s="45" t="n">
        <x:v>291</x:v>
      </x:c>
      <x:c r="L13" s="45" t="n">
        <x:v>210</x:v>
      </x:c>
      <x:c r="M13" s="46" t="n">
        <x:v>72.16494845360825</x:v>
      </x:c>
      <x:c r="N13" s="45" t="n">
        <x:v>0.0335712260775453</x:v>
      </x:c>
      <x:c r="O13" s="45" t="n">
        <x:v>0.0455802277007083</x:v>
      </x:c>
      <x:c r="P13" s="45" t="n">
        <x:v>0.0397900842511013</x:v>
      </x:c>
    </x:row>
    <x:row r="14" ht="36" customHeight="1">
      <x:c r="A14" s="45" t="str">
        <x:v>MOVER 2022</x:v>
      </x:c>
      <x:c r="B14" s="45" t="str">
        <x:v>Q3</x:v>
      </x:c>
      <x:c r="C14" s="45" t="n">
        <x:v>517</x:v>
      </x:c>
      <x:c r="D14" s="45" t="n">
        <x:v>407</x:v>
      </x:c>
      <x:c r="E14" s="46" t="n">
        <x:v>78.72340425531915</x:v>
      </x:c>
      <x:c r="F14" s="45" t="str">
        <x:v>12.8 (2.1-18.1)</x:v>
      </x:c>
      <x:c r="G14" s="45" t="str">
        <x:v>4.0 (2.0-7.0)</x:v>
      </x:c>
      <x:c r="H14" s="45" t="str">
        <x:v>71.8 (25.0-164.1)</x:v>
      </x:c>
      <x:c r="I14" s="45" t="n">
        <x:v>250</x:v>
      </x:c>
      <x:c r="J14" s="46" t="n">
        <x:v>48.35589941972921</x:v>
      </x:c>
      <x:c r="K14" s="45" t="n">
        <x:v>315</x:v>
      </x:c>
      <x:c r="L14" s="45" t="n">
        <x:v>250</x:v>
      </x:c>
      <x:c r="M14" s="46" t="n">
        <x:v>79.36507936507937</x:v>
      </x:c>
      <x:c r="N14" s="45" t="n">
        <x:v>0.0455867066606969</x:v>
      </x:c>
      <x:c r="O14" s="45" t="n">
        <x:v>0.0612642197998095</x:v>
      </x:c>
      <x:c r="P14" s="45" t="n">
        <x:v>0.052751491717209</x:v>
      </x:c>
    </x:row>
    <x:row r="15" ht="36" customHeight="1">
      <x:c r="A15" s="45" t="str">
        <x:v>MOVER 2022</x:v>
      </x:c>
      <x:c r="B15" s="45" t="str">
        <x:v>Q4</x:v>
      </x:c>
      <x:c r="C15" s="45" t="n">
        <x:v>517</x:v>
      </x:c>
      <x:c r="D15" s="45" t="n">
        <x:v>453</x:v>
      </x:c>
      <x:c r="E15" s="46" t="n">
        <x:v>87.62088974854933</x:v>
      </x:c>
      <x:c r="F15" s="45" t="str">
        <x:v>10.4 (1.7-15.8)</x:v>
      </x:c>
      <x:c r="G15" s="45" t="str">
        <x:v>4.0 (2.0-7.0)</x:v>
      </x:c>
      <x:c r="H15" s="45" t="str">
        <x:v>100.5 (43.3-168.0)</x:v>
      </x:c>
      <x:c r="I15" s="45" t="n">
        <x:v>308</x:v>
      </x:c>
      <x:c r="J15" s="46" t="n">
        <x:v>59.57446808510638</x:v>
      </x:c>
      <x:c r="K15" s="45" t="n">
        <x:v>366</x:v>
      </x:c>
      <x:c r="L15" s="45" t="n">
        <x:v>308</x:v>
      </x:c>
      <x:c r="M15" s="46" t="n">
        <x:v>84.15300546448088</x:v>
      </x:c>
      <x:c r="N15" s="45" t="n">
        <x:v>0.0612999523081266</x:v>
      </x:c>
      <x:c r="O15" s="45" t="n">
        <x:v>0.090588372466847</x:v>
      </x:c>
      <x:c r="P15" s="45" t="n">
        <x:v>0.0719864949393461</x:v>
      </x:c>
    </x:row>
    <x:row r="16" ht="36" customHeight="1">
      <x:c r="A16" s="45" t="str">
        <x:v>MOVER 2022</x:v>
      </x:c>
      <x:c r="B16" s="45" t="str">
        <x:v>Q5</x:v>
      </x:c>
      <x:c r="C16" s="45" t="n">
        <x:v>518</x:v>
      </x:c>
      <x:c r="D16" s="45" t="n">
        <x:v>476</x:v>
      </x:c>
      <x:c r="E16" s="46" t="n">
        <x:v>91.8918918918919</x:v>
      </x:c>
      <x:c r="F16" s="45" t="str">
        <x:v>3.1 (1.1-13.3)</x:v>
      </x:c>
      <x:c r="G16" s="45" t="str">
        <x:v>7.0 (3.0-10.0)</x:v>
      </x:c>
      <x:c r="H16" s="45" t="str">
        <x:v>141.7 (65.5-168.0)</x:v>
      </x:c>
      <x:c r="I16" s="45" t="n">
        <x:v>367</x:v>
      </x:c>
      <x:c r="J16" s="46" t="n">
        <x:v>70.84942084942085</x:v>
      </x:c>
      <x:c r="K16" s="45" t="n">
        <x:v>419</x:v>
      </x:c>
      <x:c r="L16" s="45" t="n">
        <x:v>367</x:v>
      </x:c>
      <x:c r="M16" s="46" t="n">
        <x:v>87.58949880668257</x:v>
      </x:c>
      <x:c r="N16" s="45" t="n">
        <x:v>0.0906495682332592</x:v>
      </x:c>
      <x:c r="O16" s="45" t="n">
        <x:v>0.6533695670187187</x:v>
      </x:c>
      <x:c r="P16" s="45" t="n">
        <x:v>0.1325443920499002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72" customHeight="1">
      <x:c r="A1" s="44" t="str">
        <x:v>cohort</x:v>
      </x:c>
      <x:c r="B1" s="44" t="str">
        <x:v>group</x:v>
      </x:c>
      <x:c r="C1" s="44" t="str">
        <x:v>eligible_n</x:v>
      </x:c>
      <x:c r="D1" s="44" t="str">
        <x:v>observed_n</x:v>
      </x:c>
      <x:c r="E1" s="44" t="str">
        <x:v>observed_pct</x:v>
      </x:c>
      <x:c r="F1" s="44" t="str">
        <x:v>first_test_h_median_iqr</x:v>
      </x:c>
      <x:c r="G1" s="44" t="str">
        <x:v>occasions_median_iqr</x:v>
      </x:c>
      <x:c r="H1" s="44" t="str">
        <x:v>opportunity_h_median_iqr</x:v>
      </x:c>
      <x:c r="I1" s="44" t="str">
        <x:v>early_test_n</x:v>
      </x:c>
      <x:c r="J1" s="44" t="str">
        <x:v>early_test_pct</x:v>
      </x:c>
      <x:c r="K1" s="44" t="str">
        <x:v>late_test_n</x:v>
      </x:c>
      <x:c r="L1" s="44" t="str">
        <x:v>late_test_pct</x:v>
      </x:c>
      <x:c r="M1" s="44" t="str">
        <x:v>late_opportunity_n</x:v>
      </x:c>
      <x:c r="N1" s="44" t="str">
        <x:v>late_among_opportunity_n</x:v>
      </x:c>
      <x:c r="O1" s="44" t="str">
        <x:v>late_among_opportunity_pct</x:v>
      </x:c>
    </x:row>
    <x:row r="2" ht="36" customHeight="1">
      <x:c r="A2" s="45" t="str">
        <x:v>INSPIRE</x:v>
      </x:c>
      <x:c r="B2" s="45" t="str">
        <x:v>&lt;=48 h</x:v>
      </x:c>
      <x:c r="C2" s="45" t="n">
        <x:v>5328</x:v>
      </x:c>
      <x:c r="D2" s="45" t="n">
        <x:v>1503</x:v>
      </x:c>
      <x:c r="E2" s="46" t="n">
        <x:v>28.209459459459456</x:v>
      </x:c>
      <x:c r="F2" s="45" t="str">
        <x:v>0.4 (0.2-0.7)</x:v>
      </x:c>
      <x:c r="G2" s="45" t="str">
        <x:v>1.0 (1.0-1.0)</x:v>
      </x:c>
      <x:c r="H2" s="45" t="str">
        <x:v>34.3 (31.5-37.3)</x:v>
      </x:c>
      <x:c r="I2" s="45" t="n">
        <x:v>1503</x:v>
      </x:c>
      <x:c r="J2" s="46" t="n">
        <x:v>28.209459459459456</x:v>
      </x:c>
      <x:c r="K2" s="45" t="n">
        <x:v>0</x:v>
      </x:c>
      <x:c r="L2" s="46" t="n">
        <x:v>0</x:v>
      </x:c>
      <x:c r="M2" s="45" t="n">
        <x:v>0</x:v>
      </x:c>
      <x:c r="N2" s="45" t="n">
        <x:v>0</x:v>
      </x:c>
      <x:c r="O2" s="46"/>
    </x:row>
    <x:row r="3" ht="36" customHeight="1">
      <x:c r="A3" s="45" t="str">
        <x:v>INSPIRE</x:v>
      </x:c>
      <x:c r="B3" s="45" t="str">
        <x:v>&gt;48 h</x:v>
      </x:c>
      <x:c r="C3" s="45" t="n">
        <x:v>28066</x:v>
      </x:c>
      <x:c r="D3" s="45" t="n">
        <x:v>23369</x:v>
      </x:c>
      <x:c r="E3" s="46" t="n">
        <x:v>83.26444808665289</x:v>
      </x:c>
      <x:c r="F3" s="45" t="str">
        <x:v>0.6 (0.3-18.5)</x:v>
      </x:c>
      <x:c r="G3" s="45" t="str">
        <x:v>4.0 (2.0-5.0)</x:v>
      </x:c>
      <x:c r="H3" s="45" t="str">
        <x:v>147.3 (100.1-168.0)</x:v>
      </x:c>
      <x:c r="I3" s="45" t="n">
        <x:v>22985</x:v>
      </x:c>
      <x:c r="J3" s="46" t="n">
        <x:v>81.89624456637925</x:v>
      </x:c>
      <x:c r="K3" s="45" t="n">
        <x:v>18498</x:v>
      </x:c>
      <x:c r="L3" s="46" t="n">
        <x:v>65.90892895318179</x:v>
      </x:c>
      <x:c r="M3" s="45" t="n">
        <x:v>28066</x:v>
      </x:c>
      <x:c r="N3" s="45" t="n">
        <x:v>18498</x:v>
      </x:c>
      <x:c r="O3" s="46" t="n">
        <x:v>65.90892895318179</x:v>
      </x:c>
    </x:row>
    <x:row r="4" ht="36" customHeight="1">
      <x:c r="A4" s="45" t="str">
        <x:v>MOVER 2021</x:v>
      </x:c>
      <x:c r="B4" s="45" t="str">
        <x:v>&lt;=48 h</x:v>
      </x:c>
      <x:c r="C4" s="45" t="n">
        <x:v>1162</x:v>
      </x:c>
      <x:c r="D4" s="45" t="n">
        <x:v>604</x:v>
      </x:c>
      <x:c r="E4" s="46" t="n">
        <x:v>51.97934595524957</x:v>
      </x:c>
      <x:c r="F4" s="45" t="str">
        <x:v>13.9 (9.2-17.4)</x:v>
      </x:c>
      <x:c r="G4" s="45" t="str">
        <x:v>1.0 (1.0-2.0)</x:v>
      </x:c>
      <x:c r="H4" s="45" t="str">
        <x:v>19.8 (6.0-27.2)</x:v>
      </x:c>
      <x:c r="I4" s="45" t="n">
        <x:v>604</x:v>
      </x:c>
      <x:c r="J4" s="46" t="n">
        <x:v>51.97934595524957</x:v>
      </x:c>
      <x:c r="K4" s="45" t="n">
        <x:v>0</x:v>
      </x:c>
      <x:c r="L4" s="46" t="n">
        <x:v>0</x:v>
      </x:c>
      <x:c r="M4" s="45" t="n">
        <x:v>0</x:v>
      </x:c>
      <x:c r="N4" s="45" t="n">
        <x:v>0</x:v>
      </x:c>
      <x:c r="O4" s="46"/>
    </x:row>
    <x:row r="5" ht="36" customHeight="1">
      <x:c r="A5" s="45" t="str">
        <x:v>MOVER 2021</x:v>
      </x:c>
      <x:c r="B5" s="45" t="str">
        <x:v>&gt;48 h</x:v>
      </x:c>
      <x:c r="C5" s="45" t="n">
        <x:v>1640</x:v>
      </x:c>
      <x:c r="D5" s="45" t="n">
        <x:v>1608</x:v>
      </x:c>
      <x:c r="E5" s="46" t="n">
        <x:v>98.04878048780488</x:v>
      </x:c>
      <x:c r="F5" s="45" t="str">
        <x:v>10.5 (1.7-16.6)</x:v>
      </x:c>
      <x:c r="G5" s="45" t="str">
        <x:v>6.0 (3.0-8.0)</x:v>
      </x:c>
      <x:c r="H5" s="45" t="str">
        <x:v>132.5 (82.3-168.0)</x:v>
      </x:c>
      <x:c r="I5" s="45" t="n">
        <x:v>1590</x:v>
      </x:c>
      <x:c r="J5" s="46" t="n">
        <x:v>96.95121951219512</x:v>
      </x:c>
      <x:c r="K5" s="45" t="n">
        <x:v>1358</x:v>
      </x:c>
      <x:c r="L5" s="46" t="n">
        <x:v>82.80487804878048</x:v>
      </x:c>
      <x:c r="M5" s="45" t="n">
        <x:v>1640</x:v>
      </x:c>
      <x:c r="N5" s="45" t="n">
        <x:v>1358</x:v>
      </x:c>
      <x:c r="O5" s="46" t="n">
        <x:v>82.80487804878048</x:v>
      </x:c>
    </x:row>
    <x:row r="6" ht="36" customHeight="1">
      <x:c r="A6" s="45" t="str">
        <x:v>MOVER 2022</x:v>
      </x:c>
      <x:c r="B6" s="45" t="str">
        <x:v>&lt;=48 h</x:v>
      </x:c>
      <x:c r="C6" s="45" t="n">
        <x:v>979</x:v>
      </x:c>
      <x:c r="D6" s="45" t="n">
        <x:v>478</x:v>
      </x:c>
      <x:c r="E6" s="46" t="n">
        <x:v>48.825331971399386</x:v>
      </x:c>
      <x:c r="F6" s="45" t="str">
        <x:v>13.8 (9.4-17.3)</x:v>
      </x:c>
      <x:c r="G6" s="45" t="str">
        <x:v>1.0 (1.0-2.0)</x:v>
      </x:c>
      <x:c r="H6" s="45" t="str">
        <x:v>20.1 (5.1-26.9)</x:v>
      </x:c>
      <x:c r="I6" s="45" t="n">
        <x:v>478</x:v>
      </x:c>
      <x:c r="J6" s="46" t="n">
        <x:v>48.825331971399386</x:v>
      </x:c>
      <x:c r="K6" s="45" t="n">
        <x:v>0</x:v>
      </x:c>
      <x:c r="L6" s="46" t="n">
        <x:v>0</x:v>
      </x:c>
      <x:c r="M6" s="45" t="n">
        <x:v>0</x:v>
      </x:c>
      <x:c r="N6" s="45" t="n">
        <x:v>0</x:v>
      </x:c>
      <x:c r="O6" s="46"/>
    </x:row>
    <x:row r="7" ht="36" customHeight="1">
      <x:c r="A7" s="45" t="str">
        <x:v>MOVER 2022</x:v>
      </x:c>
      <x:c r="B7" s="45" t="str">
        <x:v>&gt;48 h</x:v>
      </x:c>
      <x:c r="C7" s="45" t="n">
        <x:v>1608</x:v>
      </x:c>
      <x:c r="D7" s="45" t="n">
        <x:v>1555</x:v>
      </x:c>
      <x:c r="E7" s="46" t="n">
        <x:v>96.70398009950247</x:v>
      </x:c>
      <x:c r="F7" s="45" t="str">
        <x:v>10.4 (1.6-17.0)</x:v>
      </x:c>
      <x:c r="G7" s="45" t="str">
        <x:v>6.0 (3.0-8.0)</x:v>
      </x:c>
      <x:c r="H7" s="45" t="str">
        <x:v>143.7 (82.5-168.0)</x:v>
      </x:c>
      <x:c r="I7" s="45" t="n">
        <x:v>1540</x:v>
      </x:c>
      <x:c r="J7" s="46" t="n">
        <x:v>95.77114427860695</x:v>
      </x:c>
      <x:c r="K7" s="45" t="n">
        <x:v>1305</x:v>
      </x:c>
      <x:c r="L7" s="46" t="n">
        <x:v>81.15671641791045</x:v>
      </x:c>
      <x:c r="M7" s="45" t="n">
        <x:v>1608</x:v>
      </x:c>
      <x:c r="N7" s="45" t="n">
        <x:v>1305</x:v>
      </x:c>
      <x:c r="O7" s="46" t="n">
        <x:v>81.15671641791045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72" customHeight="1">
      <x:c r="A1" s="44" t="str">
        <x:v>cohort</x:v>
      </x:c>
      <x:c r="B1" s="44" t="str">
        <x:v>elapsed_day</x:v>
      </x:c>
      <x:c r="C1" s="44" t="str">
        <x:v>window_hours</x:v>
      </x:c>
      <x:c r="D1" s="44" t="str">
        <x:v>tested_n</x:v>
      </x:c>
      <x:c r="E1" s="44" t="str">
        <x:v>all_eligible_n</x:v>
      </x:c>
      <x:c r="F1" s="44" t="str">
        <x:v>any_opportunity_n</x:v>
      </x:c>
      <x:c r="G1" s="44" t="str">
        <x:v>full_opportunity_n</x:v>
      </x:c>
      <x:c r="H1" s="44" t="str">
        <x:v>tested_full_opportunity_n</x:v>
      </x:c>
      <x:c r="I1" s="44" t="str">
        <x:v>all_eligible_pct</x:v>
      </x:c>
      <x:c r="J1" s="44" t="str">
        <x:v>any_opportunity_pct</x:v>
      </x:c>
      <x:c r="K1" s="44" t="str">
        <x:v>full_opportunity_pct</x:v>
      </x:c>
      <x:c r="L1" s="44" t="str">
        <x:v>any_opportunity_ci_low</x:v>
      </x:c>
      <x:c r="M1" s="44" t="str">
        <x:v>any_opportunity_ci_high</x:v>
      </x:c>
    </x:row>
    <x:row r="2" ht="36" customHeight="1">
      <x:c r="A2" s="45" t="str">
        <x:v>INSPIRE</x:v>
      </x:c>
      <x:c r="B2" s="45" t="n">
        <x:v>1</x:v>
      </x:c>
      <x:c r="C2" s="45" t="str">
        <x:v>(0,24]</x:v>
      </x:c>
      <x:c r="D2" s="45" t="n">
        <x:v>20112</x:v>
      </x:c>
      <x:c r="E2" s="45" t="n">
        <x:v>33394</x:v>
      </x:c>
      <x:c r="F2" s="45" t="n">
        <x:v>33394</x:v>
      </x:c>
      <x:c r="G2" s="45" t="n">
        <x:v>33064</x:v>
      </x:c>
      <x:c r="H2" s="45" t="n">
        <x:v>20086</x:v>
      </x:c>
      <x:c r="I2" s="46" t="n">
        <x:v>60.226387973887526</x:v>
      </x:c>
      <x:c r="J2" s="46" t="n">
        <x:v>60.226387973887526</x:v>
      </x:c>
      <x:c r="K2" s="46" t="n">
        <x:v>60.74885071376724</x:v>
      </x:c>
      <x:c r="L2" s="46" t="n">
        <x:v>59.70030648385291</x:v>
      </x:c>
      <x:c r="M2" s="46" t="n">
        <x:v>60.75011696169026</x:v>
      </x:c>
    </x:row>
    <x:row r="3" ht="36" customHeight="1">
      <x:c r="A3" s="45" t="str">
        <x:v>INSPIRE</x:v>
      </x:c>
      <x:c r="B3" s="45" t="n">
        <x:v>2</x:v>
      </x:c>
      <x:c r="C3" s="45" t="str">
        <x:v>(24,48]</x:v>
      </x:c>
      <x:c r="D3" s="45" t="n">
        <x:v>18004</x:v>
      </x:c>
      <x:c r="E3" s="45" t="n">
        <x:v>33394</x:v>
      </x:c>
      <x:c r="F3" s="45" t="n">
        <x:v>33060</x:v>
      </x:c>
      <x:c r="G3" s="45" t="n">
        <x:v>28077</x:v>
      </x:c>
      <x:c r="H3" s="45" t="n">
        <x:v>17978</x:v>
      </x:c>
      <x:c r="I3" s="46" t="n">
        <x:v>53.91387674432533</x:v>
      </x:c>
      <x:c r="J3" s="46" t="n">
        <x:v>54.45856019358742</x:v>
      </x:c>
      <x:c r="K3" s="46" t="n">
        <x:v>64.03105744915767</x:v>
      </x:c>
      <x:c r="L3" s="46" t="n">
        <x:v>53.92124763879167</x:v>
      </x:c>
      <x:c r="M3" s="46" t="n">
        <x:v>54.99483672990328</x:v>
      </x:c>
    </x:row>
    <x:row r="4" ht="36" customHeight="1">
      <x:c r="A4" s="45" t="str">
        <x:v>INSPIRE</x:v>
      </x:c>
      <x:c r="B4" s="45" t="n">
        <x:v>3</x:v>
      </x:c>
      <x:c r="C4" s="45" t="str">
        <x:v>(48,72]</x:v>
      </x:c>
      <x:c r="D4" s="45" t="n">
        <x:v>8067</x:v>
      </x:c>
      <x:c r="E4" s="45" t="n">
        <x:v>33394</x:v>
      </x:c>
      <x:c r="F4" s="45" t="n">
        <x:v>28066</x:v>
      </x:c>
      <x:c r="G4" s="45" t="n">
        <x:v>24308</x:v>
      </x:c>
      <x:c r="H4" s="45" t="n">
        <x:v>8021</x:v>
      </x:c>
      <x:c r="I4" s="46" t="n">
        <x:v>24.157034197760076</x:v>
      </x:c>
      <x:c r="J4" s="46" t="n">
        <x:v>28.742963015748593</x:v>
      </x:c>
      <x:c r="K4" s="46" t="n">
        <x:v>32.99736712193516</x:v>
      </x:c>
      <x:c r="L4" s="46" t="n">
        <x:v>28.216435085825488</x:v>
      </x:c>
      <x:c r="M4" s="46" t="n">
        <x:v>29.275309149692884</x:v>
      </x:c>
    </x:row>
    <x:row r="5" ht="36" customHeight="1">
      <x:c r="A5" s="45" t="str">
        <x:v>INSPIRE</x:v>
      </x:c>
      <x:c r="B5" s="45" t="n">
        <x:v>4</x:v>
      </x:c>
      <x:c r="C5" s="45" t="str">
        <x:v>(72,96]</x:v>
      </x:c>
      <x:c r="D5" s="45" t="n">
        <x:v>9356</x:v>
      </x:c>
      <x:c r="E5" s="45" t="n">
        <x:v>33394</x:v>
      </x:c>
      <x:c r="F5" s="45" t="n">
        <x:v>24304</x:v>
      </x:c>
      <x:c r="G5" s="45" t="n">
        <x:v>21343</x:v>
      </x:c>
      <x:c r="H5" s="45" t="n">
        <x:v>9317</x:v>
      </x:c>
      <x:c r="I5" s="46" t="n">
        <x:v>28.017009043540757</x:v>
      </x:c>
      <x:c r="J5" s="46" t="n">
        <x:v>38.495720868992755</x:v>
      </x:c>
      <x:c r="K5" s="46" t="n">
        <x:v>43.65365693670056</x:v>
      </x:c>
      <x:c r="L5" s="46" t="n">
        <x:v>37.88584284048284</x:v>
      </x:c>
      <x:c r="M5" s="46" t="n">
        <x:v>39.10923502575525</x:v>
      </x:c>
    </x:row>
    <x:row r="6" ht="36" customHeight="1">
      <x:c r="A6" s="45" t="str">
        <x:v>INSPIRE</x:v>
      </x:c>
      <x:c r="B6" s="45" t="n">
        <x:v>5</x:v>
      </x:c>
      <x:c r="C6" s="45" t="str">
        <x:v>(96,120]</x:v>
      </x:c>
      <x:c r="D6" s="45" t="n">
        <x:v>9544</x:v>
      </x:c>
      <x:c r="E6" s="45" t="n">
        <x:v>33394</x:v>
      </x:c>
      <x:c r="F6" s="45" t="n">
        <x:v>21336</x:v>
      </x:c>
      <x:c r="G6" s="45" t="n">
        <x:v>17784</x:v>
      </x:c>
      <x:c r="H6" s="45" t="n">
        <x:v>9512</x:v>
      </x:c>
      <x:c r="I6" s="46" t="n">
        <x:v>28.57998442834042</x:v>
      </x:c>
      <x:c r="J6" s="46" t="n">
        <x:v>44.73190851143607</x:v>
      </x:c>
      <x:c r="K6" s="46" t="n">
        <x:v>53.48627980206928</x:v>
      </x:c>
      <x:c r="L6" s="46" t="n">
        <x:v>44.06574463816642</x:v>
      </x:c>
      <x:c r="M6" s="46" t="n">
        <x:v>45.39996903951975</x:v>
      </x:c>
    </x:row>
    <x:row r="7" ht="36" customHeight="1">
      <x:c r="A7" s="45" t="str">
        <x:v>INSPIRE</x:v>
      </x:c>
      <x:c r="B7" s="45" t="n">
        <x:v>6</x:v>
      </x:c>
      <x:c r="C7" s="45" t="str">
        <x:v>(120,144]</x:v>
      </x:c>
      <x:c r="D7" s="45" t="n">
        <x:v>4894</x:v>
      </x:c>
      <x:c r="E7" s="45" t="n">
        <x:v>33394</x:v>
      </x:c>
      <x:c r="F7" s="45" t="n">
        <x:v>17777</x:v>
      </x:c>
      <x:c r="G7" s="45" t="n">
        <x:v>14197</x:v>
      </x:c>
      <x:c r="H7" s="45" t="n">
        <x:v>4862</x:v>
      </x:c>
      <x:c r="I7" s="46" t="n">
        <x:v>14.655327304306162</x:v>
      </x:c>
      <x:c r="J7" s="46" t="n">
        <x:v>27.529954435506554</x:v>
      </x:c>
      <x:c r="K7" s="46" t="n">
        <x:v>34.2466718320772</x:v>
      </x:c>
      <x:c r="L7" s="46" t="n">
        <x:v>26.878261971652616</x:v>
      </x:c>
      <x:c r="M7" s="46" t="n">
        <x:v>28.191355973583455</x:v>
      </x:c>
    </x:row>
    <x:row r="8" ht="36" customHeight="1">
      <x:c r="A8" s="45" t="str">
        <x:v>INSPIRE</x:v>
      </x:c>
      <x:c r="B8" s="45" t="n">
        <x:v>7</x:v>
      </x:c>
      <x:c r="C8" s="45" t="str">
        <x:v>(144,168]</x:v>
      </x:c>
      <x:c r="D8" s="45" t="n">
        <x:v>7497</x:v>
      </x:c>
      <x:c r="E8" s="45" t="n">
        <x:v>33394</x:v>
      </x:c>
      <x:c r="F8" s="45" t="n">
        <x:v>14194</x:v>
      </x:c>
      <x:c r="G8" s="45" t="n">
        <x:v>11979</x:v>
      </x:c>
      <x:c r="H8" s="45" t="n">
        <x:v>7466</x:v>
      </x:c>
      <x:c r="I8" s="46" t="n">
        <x:v>22.4501407438462</x:v>
      </x:c>
      <x:c r="J8" s="46" t="n">
        <x:v>52.81809215161336</x:v>
      </x:c>
      <x:c r="K8" s="46" t="n">
        <x:v>62.325736705902</x:v>
      </x:c>
      <x:c r="L8" s="46" t="n">
        <x:v>51.99619153715501</x:v>
      </x:c>
      <x:c r="M8" s="46" t="n">
        <x:v>53.63846780398719</x:v>
      </x:c>
    </x:row>
    <x:row r="9" ht="36" customHeight="1">
      <x:c r="A9" s="45" t="str">
        <x:v>MOVER 2021</x:v>
      </x:c>
      <x:c r="B9" s="45" t="n">
        <x:v>1</x:v>
      </x:c>
      <x:c r="C9" s="45" t="str">
        <x:v>(0,24]</x:v>
      </x:c>
      <x:c r="D9" s="45" t="n">
        <x:v>2135</x:v>
      </x:c>
      <x:c r="E9" s="45" t="n">
        <x:v>2802</x:v>
      </x:c>
      <x:c r="F9" s="45" t="n">
        <x:v>2802</x:v>
      </x:c>
      <x:c r="G9" s="45" t="n">
        <x:v>2060</x:v>
      </x:c>
      <x:c r="H9" s="45" t="n">
        <x:v>1898</x:v>
      </x:c>
      <x:c r="I9" s="46" t="n">
        <x:v>76.19557458957887</x:v>
      </x:c>
      <x:c r="J9" s="46" t="n">
        <x:v>76.19557458957887</x:v>
      </x:c>
      <x:c r="K9" s="46" t="n">
        <x:v>92.13592233009707</x:v>
      </x:c>
      <x:c r="L9" s="46" t="n">
        <x:v>74.58346911769223</x:v>
      </x:c>
      <x:c r="M9" s="46" t="n">
        <x:v>77.73595168867813</x:v>
      </x:c>
    </x:row>
    <x:row r="10" ht="36" customHeight="1">
      <x:c r="A10" s="45" t="str">
        <x:v>MOVER 2021</x:v>
      </x:c>
      <x:c r="B10" s="45" t="n">
        <x:v>2</x:v>
      </x:c>
      <x:c r="C10" s="45" t="str">
        <x:v>(24,48]</x:v>
      </x:c>
      <x:c r="D10" s="45" t="n">
        <x:v>1594</x:v>
      </x:c>
      <x:c r="E10" s="45" t="n">
        <x:v>2802</x:v>
      </x:c>
      <x:c r="F10" s="45" t="n">
        <x:v>2060</x:v>
      </x:c>
      <x:c r="G10" s="45" t="n">
        <x:v>1640</x:v>
      </x:c>
      <x:c r="H10" s="45" t="n">
        <x:v>1454</x:v>
      </x:c>
      <x:c r="I10" s="46" t="n">
        <x:v>56.887937187723054</x:v>
      </x:c>
      <x:c r="J10" s="46" t="n">
        <x:v>77.37864077669903</x:v>
      </x:c>
      <x:c r="K10" s="46" t="n">
        <x:v>88.65853658536585</x:v>
      </x:c>
      <x:c r="L10" s="46" t="n">
        <x:v>75.52195040750048</x:v>
      </x:c>
      <x:c r="M10" s="46" t="n">
        <x:v>79.13341060286287</x:v>
      </x:c>
    </x:row>
    <x:row r="11" ht="36" customHeight="1">
      <x:c r="A11" s="45" t="str">
        <x:v>MOVER 2021</x:v>
      </x:c>
      <x:c r="B11" s="45" t="n">
        <x:v>3</x:v>
      </x:c>
      <x:c r="C11" s="45" t="str">
        <x:v>(48,72]</x:v>
      </x:c>
      <x:c r="D11" s="45" t="n">
        <x:v>1272</x:v>
      </x:c>
      <x:c r="E11" s="45" t="n">
        <x:v>2802</x:v>
      </x:c>
      <x:c r="F11" s="45" t="n">
        <x:v>1640</x:v>
      </x:c>
      <x:c r="G11" s="45" t="n">
        <x:v>1354</x:v>
      </x:c>
      <x:c r="H11" s="45" t="n">
        <x:v>1164</x:v>
      </x:c>
      <x:c r="I11" s="46" t="n">
        <x:v>45.396145610278374</x:v>
      </x:c>
      <x:c r="J11" s="46" t="n">
        <x:v>77.5609756097561</x:v>
      </x:c>
      <x:c r="K11" s="46" t="n">
        <x:v>85.9675036927622</x:v>
      </x:c>
      <x:c r="L11" s="46" t="n">
        <x:v>75.47883867063877</x:v>
      </x:c>
      <x:c r="M11" s="46" t="n">
        <x:v>79.5142992107076</x:v>
      </x:c>
    </x:row>
    <x:row r="12" ht="36" customHeight="1">
      <x:c r="A12" s="45" t="str">
        <x:v>MOVER 2021</x:v>
      </x:c>
      <x:c r="B12" s="45" t="n">
        <x:v>4</x:v>
      </x:c>
      <x:c r="C12" s="45" t="str">
        <x:v>(72,96]</x:v>
      </x:c>
      <x:c r="D12" s="45" t="n">
        <x:v>1023</x:v>
      </x:c>
      <x:c r="E12" s="45" t="n">
        <x:v>2802</x:v>
      </x:c>
      <x:c r="F12" s="45" t="n">
        <x:v>1353</x:v>
      </x:c>
      <x:c r="G12" s="45" t="n">
        <x:v>1115</x:v>
      </x:c>
      <x:c r="H12" s="45" t="n">
        <x:v>930</x:v>
      </x:c>
      <x:c r="I12" s="46" t="n">
        <x:v>36.50963597430407</x:v>
      </x:c>
      <x:c r="J12" s="46" t="n">
        <x:v>75.60975609756098</x:v>
      </x:c>
      <x:c r="K12" s="46" t="n">
        <x:v>83.40807174887892</x:v>
      </x:c>
      <x:c r="L12" s="46" t="n">
        <x:v>73.25113012565167</x:v>
      </x:c>
      <x:c r="M12" s="46" t="n">
        <x:v>77.82337054610142</x:v>
      </x:c>
    </x:row>
    <x:row r="13" ht="36" customHeight="1">
      <x:c r="A13" s="45" t="str">
        <x:v>MOVER 2021</x:v>
      </x:c>
      <x:c r="B13" s="45" t="n">
        <x:v>5</x:v>
      </x:c>
      <x:c r="C13" s="45" t="str">
        <x:v>(96,120]</x:v>
      </x:c>
      <x:c r="D13" s="45" t="n">
        <x:v>841</x:v>
      </x:c>
      <x:c r="E13" s="45" t="n">
        <x:v>2802</x:v>
      </x:c>
      <x:c r="F13" s="45" t="n">
        <x:v>1115</x:v>
      </x:c>
      <x:c r="G13" s="45" t="n">
        <x:v>910</x:v>
      </x:c>
      <x:c r="H13" s="45" t="n">
        <x:v>775</x:v>
      </x:c>
      <x:c r="I13" s="46" t="n">
        <x:v>30.01427551748751</x:v>
      </x:c>
      <x:c r="J13" s="46" t="n">
        <x:v>75.42600896860986</x:v>
      </x:c>
      <x:c r="K13" s="46" t="n">
        <x:v>85.16483516483517</x:v>
      </x:c>
      <x:c r="L13" s="46" t="n">
        <x:v>72.81452024847646</x:v>
      </x:c>
      <x:c r="M13" s="46" t="n">
        <x:v>77.86290107247117</x:v>
      </x:c>
    </x:row>
    <x:row r="14" ht="36" customHeight="1">
      <x:c r="A14" s="45" t="str">
        <x:v>MOVER 2021</x:v>
      </x:c>
      <x:c r="B14" s="45" t="n">
        <x:v>6</x:v>
      </x:c>
      <x:c r="C14" s="45" t="str">
        <x:v>(120,144]</x:v>
      </x:c>
      <x:c r="D14" s="45" t="n">
        <x:v>680</x:v>
      </x:c>
      <x:c r="E14" s="45" t="n">
        <x:v>2802</x:v>
      </x:c>
      <x:c r="F14" s="45" t="n">
        <x:v>910</x:v>
      </x:c>
      <x:c r="G14" s="45" t="n">
        <x:v>763</x:v>
      </x:c>
      <x:c r="H14" s="45" t="n">
        <x:v>632</x:v>
      </x:c>
      <x:c r="I14" s="46" t="n">
        <x:v>24.26837972876517</x:v>
      </x:c>
      <x:c r="J14" s="46" t="n">
        <x:v>74.72527472527473</x:v>
      </x:c>
      <x:c r="K14" s="46" t="n">
        <x:v>82.83093053735256</x:v>
      </x:c>
      <x:c r="L14" s="46" t="n">
        <x:v>71.80175544482009</x:v>
      </x:c>
      <x:c r="M14" s="46" t="n">
        <x:v>77.44092178944786</x:v>
      </x:c>
    </x:row>
    <x:row r="15" ht="36" customHeight="1">
      <x:c r="A15" s="45" t="str">
        <x:v>MOVER 2021</x:v>
      </x:c>
      <x:c r="B15" s="45" t="n">
        <x:v>7</x:v>
      </x:c>
      <x:c r="C15" s="45" t="str">
        <x:v>(144,168]</x:v>
      </x:c>
      <x:c r="D15" s="45" t="n">
        <x:v>571</x:v>
      </x:c>
      <x:c r="E15" s="45" t="n">
        <x:v>2802</x:v>
      </x:c>
      <x:c r="F15" s="45" t="n">
        <x:v>763</x:v>
      </x:c>
      <x:c r="G15" s="45" t="n">
        <x:v>653</x:v>
      </x:c>
      <x:c r="H15" s="45" t="n">
        <x:v>530</x:v>
      </x:c>
      <x:c r="I15" s="46" t="n">
        <x:v>20.378301213418982</x:v>
      </x:c>
      <x:c r="J15" s="46" t="n">
        <x:v>74.83617300131061</x:v>
      </x:c>
      <x:c r="K15" s="46" t="n">
        <x:v>81.16385911179174</x:v>
      </x:c>
      <x:c r="L15" s="46" t="n">
        <x:v>71.63781685723963</x:v>
      </x:c>
      <x:c r="M15" s="46" t="n">
        <x:v>77.78569769593207</x:v>
      </x:c>
    </x:row>
    <x:row r="16" ht="36" customHeight="1">
      <x:c r="A16" s="45" t="str">
        <x:v>MOVER 2022</x:v>
      </x:c>
      <x:c r="B16" s="45" t="n">
        <x:v>1</x:v>
      </x:c>
      <x:c r="C16" s="45" t="str">
        <x:v>(0,24]</x:v>
      </x:c>
      <x:c r="D16" s="45" t="n">
        <x:v>1967</x:v>
      </x:c>
      <x:c r="E16" s="45" t="n">
        <x:v>2587</x:v>
      </x:c>
      <x:c r="F16" s="45" t="n">
        <x:v>2587</x:v>
      </x:c>
      <x:c r="G16" s="45" t="n">
        <x:v>1950</x:v>
      </x:c>
      <x:c r="H16" s="45" t="n">
        <x:v>1770</x:v>
      </x:c>
      <x:c r="I16" s="46" t="n">
        <x:v>76.03401623502126</x:v>
      </x:c>
      <x:c r="J16" s="46" t="n">
        <x:v>76.03401623502126</x:v>
      </x:c>
      <x:c r="K16" s="46" t="n">
        <x:v>90.76923076923076</x:v>
      </x:c>
      <x:c r="L16" s="46" t="n">
        <x:v>74.35123682640794</x:v>
      </x:c>
      <x:c r="M16" s="46" t="n">
        <x:v>77.6395940063336</x:v>
      </x:c>
    </x:row>
    <x:row r="17" ht="36" customHeight="1">
      <x:c r="A17" s="45" t="str">
        <x:v>MOVER 2022</x:v>
      </x:c>
      <x:c r="B17" s="45" t="n">
        <x:v>2</x:v>
      </x:c>
      <x:c r="C17" s="45" t="str">
        <x:v>(24,48]</x:v>
      </x:c>
      <x:c r="D17" s="45" t="n">
        <x:v>1517</x:v>
      </x:c>
      <x:c r="E17" s="45" t="n">
        <x:v>2587</x:v>
      </x:c>
      <x:c r="F17" s="45" t="n">
        <x:v>1950</x:v>
      </x:c>
      <x:c r="G17" s="45" t="n">
        <x:v>1608</x:v>
      </x:c>
      <x:c r="H17" s="45" t="n">
        <x:v>1410</x:v>
      </x:c>
      <x:c r="I17" s="46" t="n">
        <x:v>58.639350599149594</x:v>
      </x:c>
      <x:c r="J17" s="46" t="n">
        <x:v>77.7948717948718</x:v>
      </x:c>
      <x:c r="K17" s="46" t="n">
        <x:v>87.68656716417911</x:v>
      </x:c>
      <x:c r="L17" s="46" t="n">
        <x:v>75.8964980151687</x:v>
      </x:c>
      <x:c r="M17" s="46" t="n">
        <x:v>79.58395026308024</x:v>
      </x:c>
    </x:row>
    <x:row r="18" ht="36" customHeight="1">
      <x:c r="A18" s="45" t="str">
        <x:v>MOVER 2022</x:v>
      </x:c>
      <x:c r="B18" s="45" t="n">
        <x:v>3</x:v>
      </x:c>
      <x:c r="C18" s="45" t="str">
        <x:v>(48,72]</x:v>
      </x:c>
      <x:c r="D18" s="45" t="n">
        <x:v>1244</x:v>
      </x:c>
      <x:c r="E18" s="45" t="n">
        <x:v>2587</x:v>
      </x:c>
      <x:c r="F18" s="45" t="n">
        <x:v>1608</x:v>
      </x:c>
      <x:c r="G18" s="45" t="n">
        <x:v>1328</x:v>
      </x:c>
      <x:c r="H18" s="45" t="n">
        <x:v>1146</x:v>
      </x:c>
      <x:c r="I18" s="46" t="n">
        <x:v>48.08658678005412</x:v>
      </x:c>
      <x:c r="J18" s="46" t="n">
        <x:v>77.363184079602</x:v>
      </x:c>
      <x:c r="K18" s="46" t="n">
        <x:v>86.29518072289157</x:v>
      </x:c>
      <x:c r="L18" s="46" t="n">
        <x:v>75.25396058751984</x:v>
      </x:c>
      <x:c r="M18" s="46" t="n">
        <x:v>79.34197967597562</x:v>
      </x:c>
    </x:row>
    <x:row r="19" ht="36" customHeight="1">
      <x:c r="A19" s="45" t="str">
        <x:v>MOVER 2022</x:v>
      </x:c>
      <x:c r="B19" s="45" t="n">
        <x:v>4</x:v>
      </x:c>
      <x:c r="C19" s="45" t="str">
        <x:v>(72,96]</x:v>
      </x:c>
      <x:c r="D19" s="45" t="n">
        <x:v>991</x:v>
      </x:c>
      <x:c r="E19" s="45" t="n">
        <x:v>2587</x:v>
      </x:c>
      <x:c r="F19" s="45" t="n">
        <x:v>1328</x:v>
      </x:c>
      <x:c r="G19" s="45" t="n">
        <x:v>1118</x:v>
      </x:c>
      <x:c r="H19" s="45" t="n">
        <x:v>927</x:v>
      </x:c>
      <x:c r="I19" s="46" t="n">
        <x:v>38.30691921144182</x:v>
      </x:c>
      <x:c r="J19" s="46" t="n">
        <x:v>74.62349397590361</x:v>
      </x:c>
      <x:c r="K19" s="46" t="n">
        <x:v>82.91592128801432</x:v>
      </x:c>
      <x:c r="L19" s="46" t="n">
        <x:v>72.21430251323589</x:v>
      </x:c>
      <x:c r="M19" s="46" t="n">
        <x:v>76.8906412973508</x:v>
      </x:c>
    </x:row>
    <x:row r="20" ht="36" customHeight="1">
      <x:c r="A20" s="45" t="str">
        <x:v>MOVER 2022</x:v>
      </x:c>
      <x:c r="B20" s="45" t="n">
        <x:v>5</x:v>
      </x:c>
      <x:c r="C20" s="45" t="str">
        <x:v>(96,120]</x:v>
      </x:c>
      <x:c r="D20" s="45" t="n">
        <x:v>852</x:v>
      </x:c>
      <x:c r="E20" s="45" t="n">
        <x:v>2587</x:v>
      </x:c>
      <x:c r="F20" s="45" t="n">
        <x:v>1118</x:v>
      </x:c>
      <x:c r="G20" s="45" t="n">
        <x:v>947</x:v>
      </x:c>
      <x:c r="H20" s="45" t="n">
        <x:v>806</x:v>
      </x:c>
      <x:c r="I20" s="46" t="n">
        <x:v>32.933900270583685</x:v>
      </x:c>
      <x:c r="J20" s="46" t="n">
        <x:v>76.20751341681574</x:v>
      </x:c>
      <x:c r="K20" s="46" t="n">
        <x:v>85.11087645195354</x:v>
      </x:c>
      <x:c r="L20" s="46" t="n">
        <x:v>73.62442596148821</x:v>
      </x:c>
      <x:c r="M20" s="46" t="n">
        <x:v>78.61111903397102</x:v>
      </x:c>
    </x:row>
    <x:row r="21" ht="36" customHeight="1">
      <x:c r="A21" s="45" t="str">
        <x:v>MOVER 2022</x:v>
      </x:c>
      <x:c r="B21" s="45" t="n">
        <x:v>6</x:v>
      </x:c>
      <x:c r="C21" s="45" t="str">
        <x:v>(120,144]</x:v>
      </x:c>
      <x:c r="D21" s="45" t="n">
        <x:v>710</x:v>
      </x:c>
      <x:c r="E21" s="45" t="n">
        <x:v>2587</x:v>
      </x:c>
      <x:c r="F21" s="45" t="n">
        <x:v>947</x:v>
      </x:c>
      <x:c r="G21" s="45" t="n">
        <x:v>803</x:v>
      </x:c>
      <x:c r="H21" s="45" t="n">
        <x:v>659</x:v>
      </x:c>
      <x:c r="I21" s="46" t="n">
        <x:v>27.44491689215307</x:v>
      </x:c>
      <x:c r="J21" s="46" t="n">
        <x:v>74.97360084477296</x:v>
      </x:c>
      <x:c r="K21" s="46" t="n">
        <x:v>82.06724782067248</x:v>
      </x:c>
      <x:c r="L21" s="46" t="n">
        <x:v>72.11759674578475</x:v>
      </x:c>
      <x:c r="M21" s="46" t="n">
        <x:v>77.62781513251625</x:v>
      </x:c>
    </x:row>
    <x:row r="22" ht="36" customHeight="1">
      <x:c r="A22" s="45" t="str">
        <x:v>MOVER 2022</x:v>
      </x:c>
      <x:c r="B22" s="45" t="n">
        <x:v>7</x:v>
      </x:c>
      <x:c r="C22" s="45" t="str">
        <x:v>(144,168]</x:v>
      </x:c>
      <x:c r="D22" s="45" t="n">
        <x:v>607</x:v>
      </x:c>
      <x:c r="E22" s="45" t="n">
        <x:v>2587</x:v>
      </x:c>
      <x:c r="F22" s="45" t="n">
        <x:v>802</x:v>
      </x:c>
      <x:c r="G22" s="45" t="n">
        <x:v>689</x:v>
      </x:c>
      <x:c r="H22" s="45" t="n">
        <x:v>560</x:v>
      </x:c>
      <x:c r="I22" s="46" t="n">
        <x:v>23.46347120216467</x:v>
      </x:c>
      <x:c r="J22" s="46" t="n">
        <x:v>75.6857855361596</x:v>
      </x:c>
      <x:c r="K22" s="46" t="n">
        <x:v>81.27721335268505</x:v>
      </x:c>
      <x:c r="L22" s="46" t="n">
        <x:v>72.59897807941483</x:v>
      </x:c>
      <x:c r="M22" s="46" t="n">
        <x:v>78.52770391122635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44" customHeight="1">
      <x:c r="A1" s="44" t="str">
        <x:v>Item</x:v>
      </x:c>
      <x:c r="B1" s="44" t="str">
        <x:v>Definition</x:v>
      </x:c>
    </x:row>
    <x:row r="2" ht="44" customHeight="1">
      <x:c r="A2" s="45" t="str">
        <x:v>Analysis</x:v>
      </x:c>
      <x:c r="B2" s="45" t="str">
        <x:v>Post hoc descriptive diagnostic, 7 October 2026; original labels and predictions fixed</x:v>
      </x:c>
    </x:row>
    <x:row r="3" ht="44" customHeight="1">
      <x:c r="A3" s="45" t="str">
        <x:v>Time zero</x:v>
      </x:c>
      <x:c r="B3" s="45" t="str">
        <x:v>Anesthesia completion; (0,48] and (48,168] h within original recorded follow-up</x:v>
      </x:c>
    </x:row>
    <x:row r="4" ht="44" customHeight="1">
      <x:c r="A4" s="45" t="str">
        <x:v>Opportunity</x:v>
      </x:c>
      <x:c r="B4" s="45" t="str">
        <x:v>Separate all-eligible, any-bin and full-bin denominators; no adequate-surveillance criterion</x:v>
      </x:c>
    </x:row>
    <x:row r="5" ht="44" customHeight="1">
      <x:c r="A5" s="45" t="str">
        <x:v>Risk strata</x:v>
      </x:c>
      <x:c r="B5" s="45" t="str">
        <x:v>Within-cohort quintiles of the frozen unupdated source model; source scores are in-sample descriptions</x:v>
      </x:c>
    </x:row>
    <x:row r="6" ht="44" customHeight="1">
      <x:c r="A6" s="45" t="str">
        <x:v>Intervals</x:v>
      </x:c>
      <x:c r="B6" s="45" t="str">
        <x:v>Wilson 95% intervals describe proportions conditional on the retained cohort and recorded measurement process</x:v>
      </x:c>
    </x:row>
    <x:row r="7" ht="44" customHeight="1">
      <x:c r="A7" s="45" t="str">
        <x:v>Provenance</x:v>
      </x:c>
      <x:c r="B7" s="45" t="str">
        <x:v>Corrected primary tables originated in v3.3.0. Timing Tables S28-S31 are first included in v3.4.0; see the GitHub release for the assigned version DOI.</x:v>
      </x:c>
    </x:row>
    <x:row r="8" ht="44" customHeight="1">
      <x:c r="A8" s="45" t="str">
        <x:v>Small cells</x:v>
      </x:c>
      <x:c r="B8" s="45" t="str">
        <x:v>Positive counts below five and linked percentages/intervals suppressed</x:v>
      </x:c>
    </x:row>
    <x:row r="9" ht="44" customHeight="1">
      <x:c r="A9" s="45" t="str">
        <x:v>Raw data</x:v>
      </x:c>
      <x:c r="B9" s="45" t="str">
        <x:v>Obtain from original providers; patient-level records are not included</x:v>
      </x:c>
    </x:row>
    <x:row r="10" ht="44" customHeight="1"/>
  </x:sheetData>
  <x:pageMargins left="0.7" right="0.7" top="0.75" bottom="0.75" header="0.3" footer="0.3"/>
</x:worksheet>
</file>